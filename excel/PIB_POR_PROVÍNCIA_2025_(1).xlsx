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elv.ETELVINO\Programação\Análise de Dados\Projetos\"/>
    </mc:Choice>
  </mc:AlternateContent>
  <xr:revisionPtr revIDLastSave="0" documentId="13_ncr:1_{88DBFBD7-341A-4387-8261-47D020680EB4}" xr6:coauthVersionLast="47" xr6:coauthVersionMax="47" xr10:uidLastSave="{00000000-0000-0000-0000-000000000000}"/>
  <workbookProtection workbookAlgorithmName="SHA-512" workbookHashValue="3qyYClsUOcueWKaqwp0jd+CPcIhwK17GpUPGpxsio9OnOYkB8fnfQJJFomakS07Awinws1XG3OhifmDmPGce5Q==" workbookSaltValue="jRVwoX/WwiPXDPg0kUe8Gg==" workbookSpinCount="100000" lockStructure="1"/>
  <bookViews>
    <workbookView xWindow="-120" yWindow="-120" windowWidth="20730" windowHeight="11040" tabRatio="594" firstSheet="11" activeTab="15" xr2:uid="{BA3046AE-B508-4D8A-A30A-27DCEC922903}"/>
  </bookViews>
  <sheets>
    <sheet name="Índice" sheetId="9" r:id="rId1"/>
    <sheet name="Q1" sheetId="1" r:id="rId2"/>
    <sheet name="Q2" sheetId="2" r:id="rId3"/>
    <sheet name="Q3" sheetId="3" r:id="rId4"/>
    <sheet name="Q4" sheetId="4" r:id="rId5"/>
    <sheet name="Q5" sheetId="5" r:id="rId6"/>
    <sheet name="Q6" sheetId="6" r:id="rId7"/>
    <sheet name="Q7" sheetId="7" r:id="rId8"/>
    <sheet name="Q8" sheetId="8" r:id="rId9"/>
    <sheet name="Planilha2" sheetId="35" r:id="rId10"/>
    <sheet name="Modelagem" sheetId="24" r:id="rId11"/>
    <sheet name="KPIs &amp; Análises" sheetId="16" r:id="rId12"/>
    <sheet name="Visão Geral" sheetId="18" r:id="rId13"/>
    <sheet name="Evolução Econômica" sheetId="21" r:id="rId14"/>
    <sheet name="Preço vs Volume" sheetId="32" r:id="rId15"/>
    <sheet name="Estrutura Setorial" sheetId="33" r:id="rId16"/>
  </sheets>
  <externalReferences>
    <externalReference r:id="rId17"/>
  </externalReferences>
  <definedNames>
    <definedName name="_Toc215175183" localSheetId="1">'Q1'!#REF!</definedName>
    <definedName name="_Toc215175183" localSheetId="2">'Q2'!#REF!</definedName>
    <definedName name="_Toc215175183" localSheetId="3">'Q3'!#REF!</definedName>
    <definedName name="_Toc215175183" localSheetId="4">'Q4'!#REF!</definedName>
    <definedName name="_Toc215175183" localSheetId="5">'Q5'!#REF!</definedName>
    <definedName name="_Toc215175183" localSheetId="6">'Q6'!#REF!</definedName>
    <definedName name="_Toc215175183" localSheetId="7">'Q7'!#REF!</definedName>
    <definedName name="_Toc215175183" localSheetId="8">'Q8'!#REF!</definedName>
    <definedName name="_xlchart.v5.0" hidden="1">'KPIs &amp; Análises'!$G$33:$G$42</definedName>
    <definedName name="_xlchart.v5.1" hidden="1">'KPIs &amp; Análises'!$H$32</definedName>
    <definedName name="_xlchart.v5.2" hidden="1">'KPIs &amp; Análises'!$H$33:$H$42</definedName>
  </definedNames>
  <calcPr calcId="191029"/>
  <pivotCaches>
    <pivotCache cacheId="0" r:id="rId18"/>
    <pivotCache cacheId="1" r:id="rId19"/>
    <pivotCache cacheId="2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16" l="1"/>
  <c r="AW51" i="24"/>
  <c r="AV51" i="24"/>
  <c r="AU51" i="24"/>
  <c r="AT51" i="24"/>
  <c r="AW50" i="24"/>
  <c r="AV50" i="24"/>
  <c r="AU50" i="24"/>
  <c r="AT50" i="24"/>
  <c r="AW49" i="24"/>
  <c r="AV49" i="24"/>
  <c r="AU49" i="24"/>
  <c r="AT49" i="24"/>
  <c r="AW48" i="24"/>
  <c r="AV48" i="24"/>
  <c r="AU48" i="24"/>
  <c r="AT48" i="24"/>
  <c r="AW47" i="24"/>
  <c r="AV47" i="24"/>
  <c r="AU47" i="24"/>
  <c r="AT47" i="24"/>
  <c r="AW46" i="24"/>
  <c r="AV46" i="24"/>
  <c r="AU46" i="24"/>
  <c r="AT46" i="24"/>
  <c r="AW45" i="24"/>
  <c r="AV45" i="24"/>
  <c r="AU45" i="24"/>
  <c r="AT45" i="24"/>
  <c r="AW44" i="24"/>
  <c r="AV44" i="24"/>
  <c r="AU44" i="24"/>
  <c r="AT44" i="24"/>
  <c r="AW43" i="24"/>
  <c r="AV43" i="24"/>
  <c r="AU43" i="24"/>
  <c r="AT43" i="24"/>
  <c r="AW42" i="24"/>
  <c r="AV42" i="24"/>
  <c r="AU42" i="24"/>
  <c r="AT42" i="24"/>
  <c r="AW41" i="24"/>
  <c r="AV41" i="24"/>
  <c r="AU41" i="24"/>
  <c r="AT41" i="24"/>
  <c r="AW40" i="24"/>
  <c r="AV40" i="24"/>
  <c r="AU40" i="24"/>
  <c r="AT40" i="24"/>
  <c r="AW39" i="24"/>
  <c r="AV39" i="24"/>
  <c r="AU39" i="24"/>
  <c r="AT39" i="24"/>
  <c r="AW38" i="24"/>
  <c r="AV38" i="24"/>
  <c r="AU38" i="24"/>
  <c r="AT38" i="24"/>
  <c r="AW37" i="24"/>
  <c r="AV37" i="24"/>
  <c r="AU37" i="24"/>
  <c r="AT37" i="24"/>
  <c r="AW36" i="24"/>
  <c r="AV36" i="24"/>
  <c r="AU36" i="24"/>
  <c r="AT36" i="24"/>
  <c r="AW35" i="24"/>
  <c r="AV35" i="24"/>
  <c r="AU35" i="24"/>
  <c r="AT35" i="24"/>
  <c r="AW34" i="24"/>
  <c r="AV34" i="24"/>
  <c r="AU34" i="24"/>
  <c r="AT34" i="24"/>
  <c r="AX24" i="24" l="1"/>
  <c r="AV24" i="24"/>
  <c r="AW24" i="24" s="1"/>
  <c r="AU24" i="24"/>
  <c r="AX23" i="24"/>
  <c r="AV23" i="24"/>
  <c r="AW23" i="24" s="1"/>
  <c r="AU23" i="24"/>
  <c r="AX22" i="24"/>
  <c r="H42" i="16" s="1"/>
  <c r="AV22" i="24"/>
  <c r="AW22" i="24" s="1"/>
  <c r="AU22" i="24"/>
  <c r="AX21" i="24"/>
  <c r="H41" i="16" s="1"/>
  <c r="AV21" i="24"/>
  <c r="AW21" i="24" s="1"/>
  <c r="AU21" i="24"/>
  <c r="AX20" i="24"/>
  <c r="H40" i="16" s="1"/>
  <c r="AV20" i="24"/>
  <c r="AW20" i="24" s="1"/>
  <c r="AU20" i="24"/>
  <c r="AX19" i="24"/>
  <c r="AV19" i="24"/>
  <c r="AW19" i="24" s="1"/>
  <c r="AU19" i="24"/>
  <c r="AX18" i="24"/>
  <c r="AV18" i="24"/>
  <c r="AW18" i="24" s="1"/>
  <c r="AU18" i="24"/>
  <c r="AX17" i="24"/>
  <c r="H39" i="16" s="1"/>
  <c r="AV17" i="24"/>
  <c r="AW17" i="24" s="1"/>
  <c r="AU17" i="24"/>
  <c r="AX16" i="24"/>
  <c r="H38" i="16" s="1"/>
  <c r="AV16" i="24"/>
  <c r="AW16" i="24" s="1"/>
  <c r="AU16" i="24"/>
  <c r="AX15" i="24"/>
  <c r="AV15" i="24"/>
  <c r="AW15" i="24" s="1"/>
  <c r="AU15" i="24"/>
  <c r="AX14" i="24"/>
  <c r="H37" i="16" s="1"/>
  <c r="AV14" i="24"/>
  <c r="AW14" i="24" s="1"/>
  <c r="AU14" i="24"/>
  <c r="AX13" i="24"/>
  <c r="AV13" i="24"/>
  <c r="AW13" i="24" s="1"/>
  <c r="AU13" i="24"/>
  <c r="AX12" i="24"/>
  <c r="H36" i="16" s="1"/>
  <c r="AV12" i="24"/>
  <c r="AW12" i="24" s="1"/>
  <c r="AU12" i="24"/>
  <c r="AX11" i="24"/>
  <c r="AV11" i="24"/>
  <c r="AW11" i="24" s="1"/>
  <c r="AU11" i="24"/>
  <c r="AX10" i="24"/>
  <c r="AV10" i="24"/>
  <c r="AW10" i="24" s="1"/>
  <c r="AU10" i="24"/>
  <c r="AX9" i="24"/>
  <c r="H35" i="16" s="1"/>
  <c r="AV9" i="24"/>
  <c r="AW9" i="24" s="1"/>
  <c r="AU9" i="24"/>
  <c r="AX8" i="24"/>
  <c r="H34" i="16" s="1"/>
  <c r="AV8" i="24"/>
  <c r="AW8" i="24" s="1"/>
  <c r="AU8" i="24"/>
  <c r="AX7" i="24"/>
  <c r="H33" i="16" s="1"/>
  <c r="AV7" i="24"/>
  <c r="AW7" i="24" s="1"/>
  <c r="AU7" i="24"/>
  <c r="B8" i="16"/>
  <c r="C7" i="16"/>
  <c r="C6" i="16"/>
  <c r="AF7" i="24" l="1"/>
  <c r="C21" i="9"/>
  <c r="C20" i="9"/>
  <c r="C18" i="9"/>
  <c r="C17" i="9"/>
  <c r="C16" i="9"/>
  <c r="C15" i="9"/>
  <c r="C14" i="9"/>
  <c r="AG22" i="24" l="1"/>
  <c r="AG18" i="24"/>
  <c r="AG14" i="24"/>
  <c r="AG10" i="24"/>
  <c r="AG19" i="24"/>
  <c r="AG15" i="24"/>
  <c r="AG7" i="24"/>
  <c r="AG21" i="24"/>
  <c r="AG17" i="24"/>
  <c r="AG13" i="24"/>
  <c r="AG9" i="24"/>
  <c r="AG23" i="24"/>
  <c r="AG11" i="24"/>
  <c r="AG24" i="24"/>
  <c r="AG20" i="24"/>
  <c r="AG16" i="24"/>
  <c r="AG12" i="24"/>
  <c r="AG8" i="24"/>
  <c r="AF22" i="24"/>
  <c r="AF18" i="24"/>
  <c r="AF14" i="24"/>
  <c r="AF10" i="24"/>
  <c r="AF19" i="24"/>
  <c r="AF11" i="24"/>
  <c r="AF21" i="24"/>
  <c r="AF17" i="24"/>
  <c r="AF13" i="24"/>
  <c r="AF9" i="24"/>
  <c r="AF23" i="24"/>
  <c r="AF15" i="24"/>
  <c r="AF24" i="24"/>
  <c r="AF20" i="24"/>
  <c r="AF16" i="24"/>
  <c r="AF12" i="24"/>
  <c r="AF8" i="24"/>
  <c r="AF5" i="24" l="1"/>
  <c r="AF4" i="24"/>
</calcChain>
</file>

<file path=xl/sharedStrings.xml><?xml version="1.0" encoding="utf-8"?>
<sst xmlns="http://schemas.openxmlformats.org/spreadsheetml/2006/main" count="1272" uniqueCount="120">
  <si>
    <t>Províncias</t>
  </si>
  <si>
    <t>Luanda</t>
  </si>
  <si>
    <t>Zaire</t>
  </si>
  <si>
    <t>Benguela</t>
  </si>
  <si>
    <t>Uige</t>
  </si>
  <si>
    <t>Cabinda</t>
  </si>
  <si>
    <t>Cuanza Sul</t>
  </si>
  <si>
    <t>Malanje</t>
  </si>
  <si>
    <t>Huambo</t>
  </si>
  <si>
    <t>Huíla</t>
  </si>
  <si>
    <t>Lunda Sul</t>
  </si>
  <si>
    <t>Bié</t>
  </si>
  <si>
    <t>Moxico</t>
  </si>
  <si>
    <t>Cuanza Norte</t>
  </si>
  <si>
    <t>Lunda Norte</t>
  </si>
  <si>
    <t>Bengo</t>
  </si>
  <si>
    <t>Namibe</t>
  </si>
  <si>
    <t>Cunene</t>
  </si>
  <si>
    <t>Cuando Cubango</t>
  </si>
  <si>
    <t>ANGOLA</t>
  </si>
  <si>
    <t>Uíge</t>
  </si>
  <si>
    <t>Provincias</t>
  </si>
  <si>
    <t>MalanJe</t>
  </si>
  <si>
    <t>Agropecuária</t>
  </si>
  <si>
    <t>Indústria</t>
  </si>
  <si>
    <t>Serviços</t>
  </si>
  <si>
    <t>Impostos sobre os Produtos</t>
  </si>
  <si>
    <t>Produto Interno Bruto</t>
  </si>
  <si>
    <t>Quadro 8 - PIB por província, variações percentuais de  volume 2015 - 2025*</t>
  </si>
  <si>
    <t>Quadro 6- Produto Interno Bruto por Província e por sectores de actividades à preços correntes(valores em milhões de kwanzas)</t>
  </si>
  <si>
    <t>Quadro 7- Participação dos principais sectores de actividades no VAB por província em 2025* (%)</t>
  </si>
  <si>
    <t>Quadro 2 - Estrutura Percentual do PIB por província: 2015 – 2025*</t>
  </si>
  <si>
    <t>Quadro 4- PIB por província, variações percentuais de preços  2015 - 2025*</t>
  </si>
  <si>
    <t>Direcção das Contas Nacionais</t>
  </si>
  <si>
    <t>Departamento das Contas Nacionais</t>
  </si>
  <si>
    <t>Contas Nacionais Anuais - 2002 - 2025</t>
  </si>
  <si>
    <t>Q1</t>
  </si>
  <si>
    <t>Q2</t>
  </si>
  <si>
    <t>Q3</t>
  </si>
  <si>
    <t>Q4</t>
  </si>
  <si>
    <t>Q5</t>
  </si>
  <si>
    <t>Q6</t>
  </si>
  <si>
    <t>Q7</t>
  </si>
  <si>
    <t>Q8</t>
  </si>
  <si>
    <t>Índice</t>
  </si>
  <si>
    <t>Quadro 1- Produto Interno Bruto (PIB) por Províncias, a preços correntes em mill milhões de Kwanzas: 2015 - 2025</t>
  </si>
  <si>
    <t>Quadro 3- Produto Interno Bruto (PIB) por Províncias a preços do ano anterior em mil milhões de Kwanzas: 2015 - 2025</t>
  </si>
  <si>
    <t>Quadro 5-  Produto Interno Bruto (PIB) per Capita  por  Províncias, a preços correntes em milhares de Kwanzas: 2015 - 2025*</t>
  </si>
  <si>
    <t>2020</t>
  </si>
  <si>
    <t>2021</t>
  </si>
  <si>
    <t>2022</t>
  </si>
  <si>
    <t>2023</t>
  </si>
  <si>
    <t>2024</t>
  </si>
  <si>
    <t>2025</t>
  </si>
  <si>
    <t>Total Geral</t>
  </si>
  <si>
    <t>Província Líder em PIB</t>
  </si>
  <si>
    <t>Litoral</t>
  </si>
  <si>
    <t>Interior</t>
  </si>
  <si>
    <t>10 Maiores Províncias</t>
  </si>
  <si>
    <t>PIB- Nacional (2025)</t>
  </si>
  <si>
    <t>Maior PIB per capita</t>
  </si>
  <si>
    <t>Peso %</t>
  </si>
  <si>
    <t>Sector Líder no PIB</t>
  </si>
  <si>
    <t>Servíços</t>
  </si>
  <si>
    <t>Crescimento Real do PIB</t>
  </si>
  <si>
    <t>Crescimento</t>
  </si>
  <si>
    <t>Desvio Padrão</t>
  </si>
  <si>
    <t>Classificação</t>
  </si>
  <si>
    <t>Muito Consistente</t>
  </si>
  <si>
    <t>Consistente</t>
  </si>
  <si>
    <t>Dinamismo</t>
  </si>
  <si>
    <t xml:space="preserve">Desvio Padrão </t>
  </si>
  <si>
    <t>Dinamismo do Crescimento</t>
  </si>
  <si>
    <t>Província</t>
  </si>
  <si>
    <t>Taxa de Crescimento</t>
  </si>
  <si>
    <t>Ano</t>
  </si>
  <si>
    <t>PIB</t>
  </si>
  <si>
    <t>Preços do ano anterior</t>
  </si>
  <si>
    <t>PIB per Capita</t>
  </si>
  <si>
    <t>variação Percentual dp Volume</t>
  </si>
  <si>
    <t>Coluna1</t>
  </si>
  <si>
    <t>Valores percentuais do preço</t>
  </si>
  <si>
    <t>Média dos percentuais do preço</t>
  </si>
  <si>
    <t>Média Percentual do Volume</t>
  </si>
  <si>
    <t>Crescimento Real Forte</t>
  </si>
  <si>
    <t>Crescimento com Pressão de Preços</t>
  </si>
  <si>
    <t>Crescimento Baseado em Preços</t>
  </si>
  <si>
    <t>Baixo Dinamismo</t>
  </si>
  <si>
    <t>c</t>
  </si>
  <si>
    <t>Quadro 1- Produto Interno Bruto (PIB) por Províncias, a preços correntes: 2020 - 2025</t>
  </si>
  <si>
    <t>Quadro 3- PIB por Províncias a preços do ano anterior: 2020 - 2025</t>
  </si>
  <si>
    <t>Quadro 4- PIB por província, variações percentuais de preços  2020 - 2025</t>
  </si>
  <si>
    <t>Quadro 5-  PIB per Capita  por  Províncias, a preços correntes: 2020 - 2025</t>
  </si>
  <si>
    <t>Quadro 6- Produto Interno Bruto por Província e por sectores de actividades à preços correntes</t>
  </si>
  <si>
    <t>Quadro 8 - PIB por província, variações percentuais de  volume 2020 - 2025</t>
  </si>
  <si>
    <t>PIB 2024</t>
  </si>
  <si>
    <t>Crescimento 2025</t>
  </si>
  <si>
    <t>PIB (2025)</t>
  </si>
  <si>
    <t>PIB Nacional</t>
  </si>
  <si>
    <t>Total Acumulado %</t>
  </si>
  <si>
    <t xml:space="preserve">Provincias </t>
  </si>
  <si>
    <t xml:space="preserve">   Agropecuária</t>
  </si>
  <si>
    <t xml:space="preserve">   Serviços</t>
  </si>
  <si>
    <t xml:space="preserve">   Produto Interno Bruto</t>
  </si>
  <si>
    <t xml:space="preserve">   Indústria</t>
  </si>
  <si>
    <t xml:space="preserve">   Impostos sobre os Produtos</t>
  </si>
  <si>
    <t>Distribuíção a economia entre as províncias (2025)</t>
  </si>
  <si>
    <t>A economia provincial está crescendo (2020 - 2025)?</t>
  </si>
  <si>
    <t>Base para cálculo do Crescimento Províncial, Desvio Padrão e Dinamismo do Crescimento</t>
  </si>
  <si>
    <t xml:space="preserve">Agropecuária </t>
  </si>
  <si>
    <t xml:space="preserve">Indústria </t>
  </si>
  <si>
    <t xml:space="preserve">Serviços </t>
  </si>
  <si>
    <t xml:space="preserve">Impostos sobre os Produtos </t>
  </si>
  <si>
    <t xml:space="preserve">Produto Interno Bruto </t>
  </si>
  <si>
    <t>Rótulos de Linha</t>
  </si>
  <si>
    <t>Rótulos de Coluna</t>
  </si>
  <si>
    <t>Média do preço (%)</t>
  </si>
  <si>
    <t>Média do Volume (%)</t>
  </si>
  <si>
    <t>Base para cálculo do Crescimento Total de 2025</t>
  </si>
  <si>
    <t>KPIs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</si>
</sst>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.00\ _€_-;\-* #,##0.00\ _€_-;_-* &quot;-&quot;??\ _€_-;_-@_-"/>
    <numFmt numFmtId="165" formatCode="#,##0.00_ ;\-#,##0.00\ "/>
    <numFmt numFmtId="166" formatCode="#,##0_ ;\-#,##0\ "/>
    <numFmt numFmtId="167" formatCode="_-* #,##0.00\ _K_z_-;\-* #,##0.00\ _K_z_-;_-* &quot;-&quot;??\ _K_z_-;_-@_-"/>
    <numFmt numFmtId="168" formatCode="_ * #,##0.00_ ;_ * \-#,##0.00_ ;_ * &quot;-&quot;??_ ;_ @_ "/>
    <numFmt numFmtId="169" formatCode="0.0%"/>
    <numFmt numFmtId="170" formatCode="#,##0.00\ &quot;Kz&quot;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6"/>
      <color rgb="FF000000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name val="Arial"/>
      <family val="2"/>
    </font>
    <font>
      <b/>
      <sz val="6"/>
      <name val="Arial"/>
      <family val="2"/>
    </font>
    <font>
      <sz val="8"/>
      <name val="Calibri"/>
      <family val="2"/>
    </font>
    <font>
      <b/>
      <sz val="8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8"/>
      <name val="Calibri"/>
      <family val="2"/>
      <scheme val="minor"/>
    </font>
    <font>
      <b/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6"/>
      <name val="Arial"/>
      <family val="2"/>
    </font>
    <font>
      <sz val="12"/>
      <color theme="1"/>
      <name val="Calibri"/>
      <family val="2"/>
      <scheme val="minor"/>
    </font>
    <font>
      <sz val="6.15"/>
      <name val="Arial"/>
      <family val="2"/>
    </font>
    <font>
      <sz val="9"/>
      <color theme="0"/>
      <name val="Arial Black"/>
      <family val="2"/>
    </font>
    <font>
      <sz val="9"/>
      <color theme="1"/>
      <name val="Arial Black"/>
      <family val="2"/>
    </font>
    <font>
      <sz val="12"/>
      <color theme="1"/>
      <name val="Arial Black"/>
      <family val="2"/>
    </font>
    <font>
      <sz val="14"/>
      <color theme="1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3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5" fillId="0" borderId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8" fillId="0" borderId="0"/>
    <xf numFmtId="9" fontId="25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49" fontId="9" fillId="0" borderId="0" applyFill="0" applyBorder="0" applyProtection="0">
      <alignment horizontal="left"/>
    </xf>
    <xf numFmtId="0" fontId="25" fillId="0" borderId="0"/>
    <xf numFmtId="0" fontId="25" fillId="0" borderId="0"/>
    <xf numFmtId="0" fontId="18" fillId="0" borderId="0"/>
    <xf numFmtId="164" fontId="18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6" fillId="0" borderId="12" applyNumberFormat="0" applyFill="0" applyProtection="0">
      <alignment horizontal="left" vertical="top" wrapText="1"/>
    </xf>
    <xf numFmtId="43" fontId="24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8" fillId="0" borderId="0"/>
    <xf numFmtId="0" fontId="18" fillId="0" borderId="0"/>
    <xf numFmtId="9" fontId="25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2">
    <xf numFmtId="0" fontId="0" fillId="0" borderId="0" xfId="0"/>
    <xf numFmtId="0" fontId="2" fillId="0" borderId="0" xfId="0" applyFont="1"/>
    <xf numFmtId="4" fontId="0" fillId="0" borderId="0" xfId="0" applyNumberFormat="1"/>
    <xf numFmtId="165" fontId="5" fillId="0" borderId="0" xfId="3" applyNumberFormat="1" applyFont="1" applyFill="1" applyBorder="1" applyAlignment="1">
      <alignment horizontal="right" vertical="center"/>
    </xf>
    <xf numFmtId="165" fontId="8" fillId="0" borderId="0" xfId="1" applyNumberFormat="1" applyFont="1" applyFill="1" applyBorder="1" applyAlignment="1">
      <alignment horizontal="right" vertical="center"/>
    </xf>
    <xf numFmtId="165" fontId="5" fillId="0" borderId="0" xfId="1" applyNumberFormat="1" applyFont="1" applyFill="1" applyBorder="1" applyAlignment="1">
      <alignment horizontal="right" vertical="center"/>
    </xf>
    <xf numFmtId="166" fontId="13" fillId="0" borderId="0" xfId="1" applyNumberFormat="1" applyFont="1" applyFill="1" applyBorder="1" applyAlignment="1">
      <alignment horizontal="right" vertical="center"/>
    </xf>
    <xf numFmtId="4" fontId="19" fillId="0" borderId="0" xfId="0" applyNumberFormat="1" applyFont="1" applyAlignment="1">
      <alignment horizontal="right"/>
    </xf>
    <xf numFmtId="4" fontId="19" fillId="0" borderId="8" xfId="0" applyNumberFormat="1" applyFont="1" applyBorder="1" applyAlignment="1">
      <alignment horizontal="right"/>
    </xf>
    <xf numFmtId="0" fontId="15" fillId="0" borderId="3" xfId="0" applyFont="1" applyBorder="1" applyAlignment="1">
      <alignment horizontal="right" vertical="center" wrapText="1" indent="1"/>
    </xf>
    <xf numFmtId="0" fontId="15" fillId="0" borderId="3" xfId="0" applyFont="1" applyBorder="1" applyAlignment="1">
      <alignment horizontal="right" vertical="center" wrapText="1"/>
    </xf>
    <xf numFmtId="0" fontId="15" fillId="0" borderId="4" xfId="0" applyFont="1" applyBorder="1" applyAlignment="1">
      <alignment horizontal="right" vertical="center" wrapText="1"/>
    </xf>
    <xf numFmtId="0" fontId="18" fillId="0" borderId="11" xfId="0" applyFont="1" applyBorder="1"/>
    <xf numFmtId="0" fontId="9" fillId="0" borderId="9" xfId="0" applyFont="1" applyBorder="1"/>
    <xf numFmtId="0" fontId="15" fillId="0" borderId="7" xfId="0" applyFont="1" applyBorder="1" applyAlignment="1">
      <alignment horizontal="right" vertical="center" wrapText="1" indent="1"/>
    </xf>
    <xf numFmtId="4" fontId="19" fillId="0" borderId="2" xfId="0" applyNumberFormat="1" applyFont="1" applyBorder="1" applyAlignment="1">
      <alignment horizontal="right"/>
    </xf>
    <xf numFmtId="4" fontId="15" fillId="0" borderId="3" xfId="0" applyNumberFormat="1" applyFont="1" applyBorder="1" applyAlignment="1">
      <alignment horizontal="right"/>
    </xf>
    <xf numFmtId="4" fontId="15" fillId="0" borderId="4" xfId="0" applyNumberFormat="1" applyFont="1" applyBorder="1" applyAlignment="1">
      <alignment horizontal="right"/>
    </xf>
    <xf numFmtId="4" fontId="15" fillId="0" borderId="7" xfId="0" applyNumberFormat="1" applyFont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Continuous" vertical="center" wrapText="1"/>
    </xf>
    <xf numFmtId="0" fontId="0" fillId="0" borderId="0" xfId="0" applyAlignment="1">
      <alignment horizontal="centerContinuous" vertical="center" wrapText="1"/>
    </xf>
    <xf numFmtId="0" fontId="2" fillId="0" borderId="0" xfId="0" applyFont="1" applyAlignment="1">
      <alignment horizontal="center" vertical="center" wrapText="1"/>
    </xf>
    <xf numFmtId="0" fontId="0" fillId="0" borderId="3" xfId="0" applyBorder="1"/>
    <xf numFmtId="0" fontId="22" fillId="0" borderId="7" xfId="4" applyBorder="1"/>
    <xf numFmtId="0" fontId="0" fillId="0" borderId="8" xfId="0" applyBorder="1"/>
    <xf numFmtId="0" fontId="22" fillId="0" borderId="2" xfId="4" applyBorder="1"/>
    <xf numFmtId="0" fontId="0" fillId="0" borderId="4" xfId="0" applyBorder="1"/>
    <xf numFmtId="4" fontId="16" fillId="0" borderId="0" xfId="0" applyNumberFormat="1" applyFont="1" applyBorder="1"/>
    <xf numFmtId="4" fontId="16" fillId="0" borderId="8" xfId="0" applyNumberFormat="1" applyFont="1" applyBorder="1"/>
    <xf numFmtId="4" fontId="17" fillId="0" borderId="15" xfId="0" applyNumberFormat="1" applyFont="1" applyBorder="1"/>
    <xf numFmtId="4" fontId="17" fillId="0" borderId="16" xfId="0" applyNumberFormat="1" applyFont="1" applyBorder="1"/>
    <xf numFmtId="0" fontId="16" fillId="0" borderId="11" xfId="0" applyFont="1" applyBorder="1"/>
    <xf numFmtId="0" fontId="17" fillId="0" borderId="13" xfId="0" applyFont="1" applyBorder="1"/>
    <xf numFmtId="0" fontId="17" fillId="0" borderId="13" xfId="0" applyFont="1" applyBorder="1" applyAlignment="1">
      <alignment horizontal="center" vertical="center"/>
    </xf>
    <xf numFmtId="0" fontId="17" fillId="0" borderId="15" xfId="0" applyFont="1" applyBorder="1"/>
    <xf numFmtId="0" fontId="17" fillId="0" borderId="16" xfId="0" applyFont="1" applyBorder="1"/>
    <xf numFmtId="165" fontId="5" fillId="0" borderId="8" xfId="3" applyNumberFormat="1" applyFont="1" applyFill="1" applyBorder="1" applyAlignment="1">
      <alignment horizontal="right" vertical="center"/>
    </xf>
    <xf numFmtId="0" fontId="4" fillId="0" borderId="15" xfId="2" applyFont="1" applyBorder="1" applyAlignment="1">
      <alignment horizontal="right" vertical="center"/>
    </xf>
    <xf numFmtId="0" fontId="4" fillId="0" borderId="16" xfId="2" applyFont="1" applyBorder="1" applyAlignment="1">
      <alignment horizontal="right" vertical="center"/>
    </xf>
    <xf numFmtId="165" fontId="4" fillId="0" borderId="15" xfId="3" applyNumberFormat="1" applyFont="1" applyFill="1" applyBorder="1" applyAlignment="1">
      <alignment horizontal="right" vertical="center"/>
    </xf>
    <xf numFmtId="165" fontId="4" fillId="0" borderId="16" xfId="3" applyNumberFormat="1" applyFont="1" applyFill="1" applyBorder="1" applyAlignment="1">
      <alignment horizontal="right" vertical="center"/>
    </xf>
    <xf numFmtId="0" fontId="4" fillId="0" borderId="13" xfId="2" applyFont="1" applyBorder="1" applyAlignment="1">
      <alignment vertical="center"/>
    </xf>
    <xf numFmtId="0" fontId="5" fillId="0" borderId="11" xfId="2" applyFont="1" applyBorder="1" applyAlignment="1">
      <alignment vertical="center"/>
    </xf>
    <xf numFmtId="0" fontId="8" fillId="0" borderId="2" xfId="0" applyFont="1" applyBorder="1" applyAlignment="1">
      <alignment vertical="center"/>
    </xf>
    <xf numFmtId="165" fontId="8" fillId="0" borderId="8" xfId="1" applyNumberFormat="1" applyFont="1" applyFill="1" applyBorder="1" applyAlignment="1">
      <alignment horizontal="right" vertical="center"/>
    </xf>
    <xf numFmtId="0" fontId="7" fillId="0" borderId="7" xfId="0" applyFont="1" applyBorder="1" applyAlignment="1">
      <alignment vertical="center"/>
    </xf>
    <xf numFmtId="165" fontId="7" fillId="0" borderId="3" xfId="1" applyNumberFormat="1" applyFont="1" applyFill="1" applyBorder="1" applyAlignment="1">
      <alignment horizontal="right" vertical="center"/>
    </xf>
    <xf numFmtId="165" fontId="7" fillId="0" borderId="4" xfId="1" applyNumberFormat="1" applyFont="1" applyFill="1" applyBorder="1" applyAlignment="1">
      <alignment horizontal="right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horizontal="right" vertical="center"/>
    </xf>
    <xf numFmtId="0" fontId="7" fillId="0" borderId="16" xfId="0" applyFont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165" fontId="5" fillId="0" borderId="8" xfId="1" applyNumberFormat="1" applyFont="1" applyFill="1" applyBorder="1" applyAlignment="1">
      <alignment horizontal="right" vertical="center"/>
    </xf>
    <xf numFmtId="0" fontId="4" fillId="0" borderId="14" xfId="0" applyFont="1" applyBorder="1" applyAlignment="1">
      <alignment vertical="center"/>
    </xf>
    <xf numFmtId="0" fontId="4" fillId="0" borderId="15" xfId="0" applyFont="1" applyBorder="1" applyAlignment="1">
      <alignment horizontal="right" vertical="center"/>
    </xf>
    <xf numFmtId="0" fontId="4" fillId="0" borderId="16" xfId="0" applyFont="1" applyBorder="1" applyAlignment="1">
      <alignment horizontal="right" vertical="center"/>
    </xf>
    <xf numFmtId="165" fontId="4" fillId="0" borderId="15" xfId="1" applyNumberFormat="1" applyFont="1" applyFill="1" applyBorder="1" applyAlignment="1">
      <alignment horizontal="right" vertical="center"/>
    </xf>
    <xf numFmtId="165" fontId="4" fillId="0" borderId="16" xfId="1" applyNumberFormat="1" applyFont="1" applyFill="1" applyBorder="1" applyAlignment="1">
      <alignment horizontal="right" vertical="center"/>
    </xf>
    <xf numFmtId="0" fontId="20" fillId="0" borderId="2" xfId="0" applyFont="1" applyBorder="1" applyAlignment="1">
      <alignment horizontal="left" vertical="center"/>
    </xf>
    <xf numFmtId="0" fontId="10" fillId="0" borderId="0" xfId="0" applyFont="1" applyBorder="1" applyAlignment="1">
      <alignment horizontal="right"/>
    </xf>
    <xf numFmtId="0" fontId="10" fillId="0" borderId="8" xfId="0" applyFont="1" applyBorder="1" applyAlignment="1">
      <alignment horizontal="right"/>
    </xf>
    <xf numFmtId="0" fontId="11" fillId="0" borderId="2" xfId="0" applyFont="1" applyBorder="1" applyAlignment="1">
      <alignment horizontal="left"/>
    </xf>
    <xf numFmtId="4" fontId="11" fillId="0" borderId="0" xfId="0" applyNumberFormat="1" applyFont="1" applyBorder="1" applyAlignment="1">
      <alignment horizontal="right"/>
    </xf>
    <xf numFmtId="4" fontId="11" fillId="0" borderId="8" xfId="0" applyNumberFormat="1" applyFont="1" applyBorder="1" applyAlignment="1">
      <alignment horizontal="right"/>
    </xf>
    <xf numFmtId="0" fontId="12" fillId="0" borderId="14" xfId="0" applyFont="1" applyBorder="1" applyAlignment="1">
      <alignment horizontal="left"/>
    </xf>
    <xf numFmtId="4" fontId="12" fillId="0" borderId="15" xfId="0" applyNumberFormat="1" applyFont="1" applyBorder="1" applyAlignment="1">
      <alignment horizontal="right"/>
    </xf>
    <xf numFmtId="4" fontId="12" fillId="0" borderId="16" xfId="0" applyNumberFormat="1" applyFont="1" applyBorder="1" applyAlignment="1">
      <alignment horizontal="right"/>
    </xf>
    <xf numFmtId="166" fontId="13" fillId="0" borderId="8" xfId="1" applyNumberFormat="1" applyFont="1" applyFill="1" applyBorder="1" applyAlignment="1">
      <alignment horizontal="right" vertical="center"/>
    </xf>
    <xf numFmtId="0" fontId="6" fillId="0" borderId="15" xfId="0" applyFont="1" applyBorder="1" applyAlignment="1">
      <alignment horizontal="right" vertical="center"/>
    </xf>
    <xf numFmtId="0" fontId="6" fillId="0" borderId="16" xfId="0" applyFont="1" applyBorder="1" applyAlignment="1">
      <alignment horizontal="right" vertical="center"/>
    </xf>
    <xf numFmtId="166" fontId="14" fillId="0" borderId="15" xfId="1" applyNumberFormat="1" applyFont="1" applyFill="1" applyBorder="1" applyAlignment="1">
      <alignment horizontal="right" vertical="center"/>
    </xf>
    <xf numFmtId="166" fontId="14" fillId="0" borderId="16" xfId="1" applyNumberFormat="1" applyFont="1" applyFill="1" applyBorder="1" applyAlignment="1">
      <alignment horizontal="right" vertical="center"/>
    </xf>
    <xf numFmtId="0" fontId="2" fillId="0" borderId="0" xfId="0" applyFont="1" applyAlignment="1"/>
    <xf numFmtId="0" fontId="0" fillId="0" borderId="0" xfId="0" applyBorder="1"/>
    <xf numFmtId="0" fontId="16" fillId="0" borderId="8" xfId="0" applyFont="1" applyBorder="1"/>
    <xf numFmtId="0" fontId="17" fillId="0" borderId="4" xfId="0" applyFont="1" applyBorder="1" applyAlignment="1">
      <alignment horizontal="center" vertical="center"/>
    </xf>
    <xf numFmtId="0" fontId="17" fillId="0" borderId="3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0" fontId="0" fillId="0" borderId="0" xfId="32" applyNumberFormat="1" applyFont="1"/>
    <xf numFmtId="4" fontId="0" fillId="0" borderId="0" xfId="0" applyNumberFormat="1" applyAlignment="1">
      <alignment horizontal="left"/>
    </xf>
    <xf numFmtId="4" fontId="16" fillId="0" borderId="0" xfId="0" applyNumberFormat="1" applyFont="1"/>
    <xf numFmtId="169" fontId="0" fillId="0" borderId="0" xfId="0" applyNumberFormat="1"/>
    <xf numFmtId="4" fontId="16" fillId="0" borderId="0" xfId="0" applyNumberFormat="1" applyFont="1" applyBorder="1" applyAlignment="1">
      <alignment horizontal="center"/>
    </xf>
    <xf numFmtId="4" fontId="16" fillId="0" borderId="0" xfId="0" applyNumberFormat="1" applyFont="1" applyAlignment="1">
      <alignment horizontal="center"/>
    </xf>
    <xf numFmtId="14" fontId="17" fillId="0" borderId="3" xfId="0" applyNumberFormat="1" applyFont="1" applyBorder="1" applyAlignment="1">
      <alignment horizontal="center"/>
    </xf>
    <xf numFmtId="0" fontId="0" fillId="0" borderId="0" xfId="0" applyAlignment="1">
      <alignment horizontal="centerContinuous"/>
    </xf>
    <xf numFmtId="0" fontId="0" fillId="0" borderId="0" xfId="0" pivotButton="1" applyAlignment="1">
      <alignment horizontal="centerContinuous"/>
    </xf>
    <xf numFmtId="0" fontId="0" fillId="0" borderId="1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7" xfId="0" applyBorder="1" applyAlignment="1">
      <alignment horizontal="center"/>
    </xf>
    <xf numFmtId="4" fontId="0" fillId="0" borderId="0" xfId="0" applyNumberFormat="1" applyBorder="1"/>
    <xf numFmtId="4" fontId="0" fillId="0" borderId="17" xfId="0" applyNumberFormat="1" applyBorder="1"/>
    <xf numFmtId="0" fontId="0" fillId="0" borderId="23" xfId="0" applyBorder="1"/>
    <xf numFmtId="4" fontId="0" fillId="0" borderId="23" xfId="0" applyNumberFormat="1" applyBorder="1"/>
    <xf numFmtId="4" fontId="0" fillId="0" borderId="24" xfId="0" applyNumberFormat="1" applyBorder="1"/>
    <xf numFmtId="0" fontId="27" fillId="2" borderId="19" xfId="0" applyFont="1" applyFill="1" applyBorder="1" applyAlignment="1">
      <alignment horizontal="centerContinuous"/>
    </xf>
    <xf numFmtId="0" fontId="27" fillId="2" borderId="20" xfId="0" applyFont="1" applyFill="1" applyBorder="1" applyAlignment="1">
      <alignment horizontal="centerContinuous"/>
    </xf>
    <xf numFmtId="0" fontId="27" fillId="2" borderId="21" xfId="0" applyFont="1" applyFill="1" applyBorder="1" applyAlignment="1">
      <alignment horizontal="centerContinuous"/>
    </xf>
    <xf numFmtId="0" fontId="0" fillId="0" borderId="18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17" xfId="0" applyBorder="1"/>
    <xf numFmtId="0" fontId="28" fillId="0" borderId="19" xfId="0" applyFont="1" applyBorder="1" applyAlignment="1">
      <alignment horizontal="centerContinuous"/>
    </xf>
    <xf numFmtId="0" fontId="28" fillId="0" borderId="20" xfId="0" applyFont="1" applyBorder="1" applyAlignment="1">
      <alignment horizontal="centerContinuous"/>
    </xf>
    <xf numFmtId="0" fontId="28" fillId="0" borderId="21" xfId="0" applyFont="1" applyBorder="1" applyAlignment="1">
      <alignment horizontal="centerContinuous"/>
    </xf>
    <xf numFmtId="0" fontId="0" fillId="0" borderId="18" xfId="0" applyNumberFormat="1" applyBorder="1" applyAlignment="1">
      <alignment horizontal="left"/>
    </xf>
    <xf numFmtId="0" fontId="0" fillId="0" borderId="22" xfId="0" applyNumberFormat="1" applyBorder="1" applyAlignment="1">
      <alignment horizontal="left"/>
    </xf>
    <xf numFmtId="0" fontId="0" fillId="0" borderId="18" xfId="0" applyBorder="1"/>
    <xf numFmtId="0" fontId="0" fillId="0" borderId="22" xfId="0" applyBorder="1"/>
    <xf numFmtId="2" fontId="0" fillId="0" borderId="0" xfId="0" applyNumberFormat="1" applyAlignment="1">
      <alignment horizontal="center"/>
    </xf>
    <xf numFmtId="0" fontId="29" fillId="0" borderId="0" xfId="0" applyFont="1" applyAlignment="1">
      <alignment horizontal="centerContinuous"/>
    </xf>
    <xf numFmtId="0" fontId="0" fillId="0" borderId="2" xfId="0" applyBorder="1"/>
    <xf numFmtId="0" fontId="0" fillId="0" borderId="7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169" fontId="0" fillId="0" borderId="0" xfId="0" applyNumberFormat="1" applyAlignment="1">
      <alignment horizontal="center"/>
    </xf>
    <xf numFmtId="9" fontId="0" fillId="0" borderId="0" xfId="32" applyFont="1"/>
    <xf numFmtId="0" fontId="30" fillId="0" borderId="0" xfId="0" applyFont="1" applyAlignment="1">
      <alignment horizontal="centerContinuous"/>
    </xf>
    <xf numFmtId="2" fontId="0" fillId="0" borderId="8" xfId="0" applyNumberFormat="1" applyBorder="1"/>
    <xf numFmtId="4" fontId="0" fillId="0" borderId="3" xfId="0" applyNumberFormat="1" applyBorder="1"/>
    <xf numFmtId="2" fontId="0" fillId="0" borderId="4" xfId="0" applyNumberFormat="1" applyBorder="1"/>
    <xf numFmtId="0" fontId="0" fillId="0" borderId="14" xfId="0" applyBorder="1" applyAlignment="1">
      <alignment horizontal="centerContinuous"/>
    </xf>
    <xf numFmtId="0" fontId="0" fillId="0" borderId="15" xfId="0" applyBorder="1" applyAlignment="1">
      <alignment horizontal="centerContinuous"/>
    </xf>
    <xf numFmtId="0" fontId="0" fillId="0" borderId="16" xfId="0" applyBorder="1" applyAlignment="1">
      <alignment horizontal="centerContinuous"/>
    </xf>
    <xf numFmtId="170" fontId="0" fillId="0" borderId="0" xfId="0" applyNumberFormat="1" applyAlignment="1">
      <alignment horizontal="left"/>
    </xf>
    <xf numFmtId="9" fontId="0" fillId="0" borderId="0" xfId="0" applyNumberFormat="1"/>
    <xf numFmtId="170" fontId="0" fillId="0" borderId="0" xfId="0" applyNumberFormat="1"/>
    <xf numFmtId="4" fontId="0" fillId="0" borderId="0" xfId="0" applyNumberFormat="1" applyAlignment="1">
      <alignment horizontal="center"/>
    </xf>
    <xf numFmtId="0" fontId="0" fillId="3" borderId="0" xfId="0" applyFill="1"/>
    <xf numFmtId="4" fontId="0" fillId="3" borderId="0" xfId="0" applyNumberFormat="1" applyFill="1" applyAlignment="1">
      <alignment horizontal="center"/>
    </xf>
    <xf numFmtId="0" fontId="0" fillId="4" borderId="0" xfId="0" applyFill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9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33">
    <cellStyle name="Hiperlink" xfId="4" builtinId="8"/>
    <cellStyle name="m49048872" xfId="21" xr:uid="{24EE8FF2-40CA-411E-A7CF-CC4EA8C5FAD5}"/>
    <cellStyle name="Normal" xfId="0" builtinId="0"/>
    <cellStyle name="Normal 10" xfId="26" xr:uid="{9495A0BE-7B2C-4EB4-B9C1-FCE8E1E32AF7}"/>
    <cellStyle name="Normal 10 2" xfId="12" xr:uid="{7B3F726D-2026-4FD9-A8CA-19FE23D27BCF}"/>
    <cellStyle name="Normal 12" xfId="29" xr:uid="{C004607A-B821-481C-8EF3-075DEC3FCC01}"/>
    <cellStyle name="Normal 2" xfId="2" xr:uid="{1CAC8CFD-51A6-46BE-A21A-E1BB9734D6D1}"/>
    <cellStyle name="Normal 2 2" xfId="27" xr:uid="{A75C2110-1145-4648-A7E6-364AF32A1601}"/>
    <cellStyle name="Normal 2 2 3" xfId="14" xr:uid="{A68436D9-D8A5-4756-A0F3-0DFF7574C32B}"/>
    <cellStyle name="Normal 2 3" xfId="8" xr:uid="{7099B906-E4B7-4F97-A5F4-1EF2B9F1A810}"/>
    <cellStyle name="Normal 3" xfId="16" xr:uid="{7508E2ED-6D8F-44B1-916C-B9617A2E1D72}"/>
    <cellStyle name="Normal 4" xfId="23" xr:uid="{F66AFFC7-82E9-46D1-B08E-9A57694277E6}"/>
    <cellStyle name="Normal 4 3" xfId="15" xr:uid="{629C08F0-4539-4403-9A12-BA0FC617B3D0}"/>
    <cellStyle name="Normal 5" xfId="30" xr:uid="{04F2DA86-3297-44B4-92BC-AF10254A9F93}"/>
    <cellStyle name="Normal 7" xfId="5" xr:uid="{86C081E1-6726-4AE9-8415-1CF950BC779B}"/>
    <cellStyle name="Percentagem 4" xfId="9" xr:uid="{289A43F8-E0A3-4C6E-980F-AA68018F9129}"/>
    <cellStyle name="Porcentagem" xfId="32" builtinId="5"/>
    <cellStyle name="Porcentagem 2" xfId="24" xr:uid="{55F7CDE3-373B-46CD-AD90-6F145170CFF4}"/>
    <cellStyle name="Porcentagem 3" xfId="31" xr:uid="{8326DE1A-8B53-41AC-82E0-177461533604}"/>
    <cellStyle name="s35" xfId="13" xr:uid="{6585A46D-9A26-486E-8075-E24E9F2F6CF1}"/>
    <cellStyle name="Separador de milhares 2" xfId="22" xr:uid="{6E1DBD5D-A5BA-473A-8165-F3EB454CFB4D}"/>
    <cellStyle name="Vírgula" xfId="1" builtinId="3"/>
    <cellStyle name="Vírgula 10" xfId="19" xr:uid="{D38BF2BE-83BC-45D6-9FD2-F66465F98211}"/>
    <cellStyle name="Vírgula 2" xfId="3" xr:uid="{56B746E5-AEB6-426E-970C-EE6058CD666E}"/>
    <cellStyle name="Vírgula 2 2 2 2" xfId="18" xr:uid="{7E2FDE8B-BB78-49C8-BF02-CE6071CA026F}"/>
    <cellStyle name="Vírgula 2 3" xfId="17" xr:uid="{CE1F4A0F-5E76-4E03-A28E-8FFCCB0B1A7C}"/>
    <cellStyle name="Vírgula 3" xfId="20" xr:uid="{2C5BB412-9DBE-4239-8D80-174461011759}"/>
    <cellStyle name="Vírgula 4" xfId="11" xr:uid="{E564318A-563A-48AC-85E3-6254B7156F14}"/>
    <cellStyle name="Vírgula 5" xfId="7" xr:uid="{EB5CAAE9-CC61-4021-A40F-66E2F5A24518}"/>
    <cellStyle name="Vírgula 6" xfId="25" xr:uid="{209676CB-BB2B-4383-A9A7-8005AC2672F9}"/>
    <cellStyle name="Vírgula 7" xfId="6" xr:uid="{CFE9BA4F-5E11-47A9-8A96-349115AA4901}"/>
    <cellStyle name="Vírgula 8" xfId="10" xr:uid="{44CFE79D-20F7-4014-A5D6-08EBE1F554AD}"/>
    <cellStyle name="Vírgula 8 2" xfId="28" xr:uid="{FD99478C-BDAE-4741-B89B-84018B02E29C}"/>
  </cellStyles>
  <dxfs count="60">
    <dxf>
      <numFmt numFmtId="4" formatCode="#,##0.0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4" formatCode="#,##0.00"/>
    </dxf>
    <dxf>
      <numFmt numFmtId="169" formatCode="0.0%"/>
      <alignment horizontal="center" vertical="bottom" textRotation="0" wrapText="0" indent="0" justifyLastLine="0" shrinkToFit="0" readingOrder="0"/>
    </dxf>
    <dxf>
      <numFmt numFmtId="4" formatCode="#,##0.00"/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69" formatCode="0.0%"/>
    </dxf>
    <dxf>
      <numFmt numFmtId="169" formatCode="0.0%"/>
    </dxf>
    <dxf>
      <numFmt numFmtId="14" formatCode="0.00%"/>
    </dxf>
    <dxf>
      <numFmt numFmtId="170" formatCode="#,##0.00\ &quot;Kz&quot;"/>
    </dxf>
    <dxf>
      <alignment horizontal="centerContinuous"/>
    </dxf>
    <dxf>
      <alignment horizontal="centerContinuous"/>
    </dxf>
    <dxf>
      <numFmt numFmtId="4" formatCode="#,##0.00"/>
    </dxf>
    <dxf>
      <numFmt numFmtId="169" formatCode="0.0%"/>
    </dxf>
    <dxf>
      <numFmt numFmtId="169" formatCode="0.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4" formatCode="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4" formatCode="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4" formatCode="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4" formatCode="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4" formatCode="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4" formatCode="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4" formatCode="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4" formatCode="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4" formatCode="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</dxf>
    <dxf>
      <numFmt numFmtId="2" formatCode="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numFmt numFmtId="4" formatCode="#,##0.00"/>
    </dxf>
    <dxf>
      <numFmt numFmtId="0" formatCode="General"/>
      <alignment horizontal="left" vertical="bottom" textRotation="0" wrapText="0" indent="0" justifyLastLine="0" shrinkToFit="0" readingOrder="0"/>
    </dxf>
    <dxf>
      <numFmt numFmtId="4" formatCode="#,##0.00"/>
    </dxf>
    <dxf>
      <alignment horizontal="center" vertical="bottom" textRotation="0" wrapText="0" indent="0" justifyLastLine="0" shrinkToFit="0" readingOrder="0"/>
    </dxf>
    <dxf>
      <numFmt numFmtId="4" formatCode="#,##0.00"/>
    </dxf>
    <dxf>
      <numFmt numFmtId="4" formatCode="#,##0.00"/>
    </dxf>
    <dxf>
      <numFmt numFmtId="4" formatCode="#,##0.0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1F2023"/>
      <color rgb="FFFFCB00"/>
      <color rgb="FF0A0A0B"/>
      <color rgb="FF120B0C"/>
      <color rgb="FF240B0E"/>
      <color rgb="FF1819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[PIB POR PROVÍNCIA 2025 - Angola.xlsx]KPIs &amp; Análises!PIB Nacional (2025)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B00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2">
                      <a:lumMod val="7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rgbClr val="FFCB00">
              <a:alpha val="70000"/>
            </a:srgbClr>
          </a:solidFill>
          <a:ln w="12700">
            <a:solidFill>
              <a:srgbClr val="FFCB00">
                <a:alpha val="70000"/>
              </a:srgb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2">
                      <a:lumMod val="7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 w="12700">
            <a:solidFill>
              <a:srgbClr val="C00000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'KPIs &amp; Análises'!$B$19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B00">
                <a:alpha val="70000"/>
              </a:srgbClr>
            </a:solidFill>
            <a:ln w="12700">
              <a:solidFill>
                <a:srgbClr val="FFCB00">
                  <a:alpha val="70000"/>
                </a:srgbClr>
              </a:solidFill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rgbClr val="C00000"/>
              </a:solidFill>
              <a:ln w="12700"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000-4E00-8CBF-32B62084F1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2">
                        <a:lumMod val="7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'KPIs &amp; Análises'!$A$20:$A$30</c:f>
              <c:strCache>
                <c:ptCount val="10"/>
                <c:pt idx="0">
                  <c:v>Bié</c:v>
                </c:pt>
                <c:pt idx="1">
                  <c:v>Huíla</c:v>
                </c:pt>
                <c:pt idx="2">
                  <c:v>Huambo</c:v>
                </c:pt>
                <c:pt idx="3">
                  <c:v>Cabinda</c:v>
                </c:pt>
                <c:pt idx="4">
                  <c:v>Malanje</c:v>
                </c:pt>
                <c:pt idx="5">
                  <c:v>Cuanza Sul</c:v>
                </c:pt>
                <c:pt idx="6">
                  <c:v>Uige</c:v>
                </c:pt>
                <c:pt idx="7">
                  <c:v>Benguela</c:v>
                </c:pt>
                <c:pt idx="8">
                  <c:v>Zaire</c:v>
                </c:pt>
                <c:pt idx="9">
                  <c:v>Luanda</c:v>
                </c:pt>
              </c:strCache>
            </c:strRef>
          </c:cat>
          <c:val>
            <c:numRef>
              <c:f>'KPIs &amp; Análises'!$B$20:$B$30</c:f>
              <c:numCache>
                <c:formatCode>#\ ##0.00\ "Kz"</c:formatCode>
                <c:ptCount val="10"/>
                <c:pt idx="0">
                  <c:v>3893.1262067798889</c:v>
                </c:pt>
                <c:pt idx="1">
                  <c:v>4134.4627445200867</c:v>
                </c:pt>
                <c:pt idx="2">
                  <c:v>4717.9740260215367</c:v>
                </c:pt>
                <c:pt idx="3">
                  <c:v>5447.1334781120358</c:v>
                </c:pt>
                <c:pt idx="4">
                  <c:v>6102.8196998606963</c:v>
                </c:pt>
                <c:pt idx="5">
                  <c:v>6176.8206142119961</c:v>
                </c:pt>
                <c:pt idx="6">
                  <c:v>8541.7431021613593</c:v>
                </c:pt>
                <c:pt idx="7">
                  <c:v>10248.67209367698</c:v>
                </c:pt>
                <c:pt idx="8">
                  <c:v>18070.900181588386</c:v>
                </c:pt>
                <c:pt idx="9">
                  <c:v>40810.255367272046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00-4E00-8CBF-32B62084F1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08898896"/>
        <c:axId val="608903056"/>
      </c:barChart>
      <c:catAx>
        <c:axId val="608898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2">
                    <a:lumMod val="7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608903056"/>
        <c:crosses val="autoZero"/>
        <c:auto val="1"/>
        <c:lblAlgn val="ctr"/>
        <c:lblOffset val="100"/>
        <c:noMultiLvlLbl val="0"/>
      </c:catAx>
      <c:valAx>
        <c:axId val="608903056"/>
        <c:scaling>
          <c:orientation val="minMax"/>
        </c:scaling>
        <c:delete val="1"/>
        <c:axPos val="b"/>
        <c:numFmt formatCode="#\ ##0.00\ &quot;Kz&quot;" sourceLinked="1"/>
        <c:majorTickMark val="none"/>
        <c:minorTickMark val="none"/>
        <c:tickLblPos val="nextTo"/>
        <c:crossAx val="60889889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'KPIs &amp; Análises'!$E$19</c:f>
              <c:strCache>
                <c:ptCount val="1"/>
                <c:pt idx="0">
                  <c:v>Peso %</c:v>
                </c:pt>
              </c:strCache>
            </c:strRef>
          </c:tx>
          <c:spPr>
            <a:solidFill>
              <a:srgbClr val="FFCB00">
                <a:alpha val="70000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CCD-4CB1-8D05-49B8D649AB8F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2">
                        <a:lumMod val="7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'KPIs &amp; Análises'!$D$20:$D$29</c:f>
              <c:strCache>
                <c:ptCount val="10"/>
                <c:pt idx="0">
                  <c:v>Luanda</c:v>
                </c:pt>
                <c:pt idx="1">
                  <c:v>Zaire</c:v>
                </c:pt>
                <c:pt idx="2">
                  <c:v>Benguela</c:v>
                </c:pt>
                <c:pt idx="3">
                  <c:v>Uige</c:v>
                </c:pt>
                <c:pt idx="4">
                  <c:v>Cuanza Sul</c:v>
                </c:pt>
                <c:pt idx="5">
                  <c:v>Malanje</c:v>
                </c:pt>
                <c:pt idx="6">
                  <c:v>Cabinda</c:v>
                </c:pt>
                <c:pt idx="7">
                  <c:v>Huambo</c:v>
                </c:pt>
                <c:pt idx="8">
                  <c:v>Huíla</c:v>
                </c:pt>
                <c:pt idx="9">
                  <c:v>Bié</c:v>
                </c:pt>
              </c:strCache>
            </c:strRef>
          </c:cat>
          <c:val>
            <c:numRef>
              <c:f>'KPIs &amp; Análises'!$E$20:$E$29</c:f>
              <c:numCache>
                <c:formatCode>0.00%</c:formatCode>
                <c:ptCount val="10"/>
                <c:pt idx="0">
                  <c:v>0.31807959672804542</c:v>
                </c:pt>
                <c:pt idx="1">
                  <c:v>0.14084657374827447</c:v>
                </c:pt>
                <c:pt idx="2">
                  <c:v>7.9879271943224153E-2</c:v>
                </c:pt>
                <c:pt idx="3">
                  <c:v>6.6575280571974108E-2</c:v>
                </c:pt>
                <c:pt idx="4">
                  <c:v>4.8142815876757422E-2</c:v>
                </c:pt>
                <c:pt idx="5">
                  <c:v>4.756604465142359E-2</c:v>
                </c:pt>
                <c:pt idx="6">
                  <c:v>4.2455554478867466E-2</c:v>
                </c:pt>
                <c:pt idx="7">
                  <c:v>3.6772405907898556E-2</c:v>
                </c:pt>
                <c:pt idx="8">
                  <c:v>3.2224455118668963E-2</c:v>
                </c:pt>
                <c:pt idx="9">
                  <c:v>3.0343451730934556E-2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CD-4CB1-8D05-49B8D649AB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87413264"/>
        <c:axId val="687413680"/>
      </c:barChart>
      <c:catAx>
        <c:axId val="68741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2">
                    <a:lumMod val="7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687413680"/>
        <c:crosses val="autoZero"/>
        <c:auto val="1"/>
        <c:lblAlgn val="ctr"/>
        <c:lblOffset val="100"/>
        <c:noMultiLvlLbl val="0"/>
      </c:catAx>
      <c:valAx>
        <c:axId val="687413680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68741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[PIB POR PROVÍNCIA 2025 - Angola.xlsx]KPIs &amp; Análises!Concentração do PIB (2025)</c:name>
    <c:fmtId val="3"/>
  </c:pivotSource>
  <c:chart>
    <c:autoTitleDeleted val="1"/>
    <c:pivotFmts>
      <c:pivotFmt>
        <c:idx val="0"/>
        <c:spPr>
          <a:solidFill>
            <a:srgbClr val="FFCB00">
              <a:alpha val="70000"/>
            </a:srgbClr>
          </a:solidFill>
          <a:ln w="12700">
            <a:solidFill>
              <a:srgbClr val="FFCB00">
                <a:alpha val="70000"/>
              </a:srgb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B00">
              <a:alpha val="70000"/>
            </a:srgbClr>
          </a:solidFill>
          <a:ln w="12700">
            <a:solidFill>
              <a:srgbClr val="FFCB00">
                <a:alpha val="70000"/>
              </a:srgb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B00">
              <a:alpha val="70000"/>
            </a:srgbClr>
          </a:solidFill>
          <a:ln w="12700">
            <a:solidFill>
              <a:srgbClr val="FFCB00">
                <a:alpha val="70000"/>
              </a:srgb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2">
                      <a:lumMod val="7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 w="12700">
            <a:solidFill>
              <a:srgbClr val="C00000"/>
            </a:solidFill>
          </a:ln>
          <a:effectLst/>
        </c:spPr>
      </c:pivotFmt>
      <c:pivotFmt>
        <c:idx val="4"/>
        <c:spPr>
          <a:solidFill>
            <a:srgbClr val="C00000"/>
          </a:solidFill>
          <a:ln w="12700">
            <a:solidFill>
              <a:srgbClr val="C00000"/>
            </a:solidFill>
          </a:ln>
          <a:effectLst/>
        </c:spPr>
      </c:pivotFmt>
      <c:pivotFmt>
        <c:idx val="5"/>
        <c:spPr>
          <a:solidFill>
            <a:srgbClr val="C00000"/>
          </a:solidFill>
          <a:ln w="12700">
            <a:solidFill>
              <a:srgbClr val="C00000"/>
            </a:solidFill>
          </a:ln>
          <a:effectLst/>
        </c:spPr>
      </c:pivotFmt>
      <c:pivotFmt>
        <c:idx val="6"/>
        <c:spPr>
          <a:solidFill>
            <a:srgbClr val="C00000"/>
          </a:solidFill>
          <a:ln w="12700">
            <a:solidFill>
              <a:srgbClr val="C00000"/>
            </a:solidFill>
          </a:ln>
          <a:effectLst/>
        </c:spPr>
      </c:pivotFmt>
      <c:pivotFmt>
        <c:idx val="7"/>
        <c:spPr>
          <a:solidFill>
            <a:srgbClr val="C00000"/>
          </a:solidFill>
          <a:ln w="12700">
            <a:solidFill>
              <a:srgbClr val="C00000"/>
            </a:solidFill>
          </a:ln>
          <a:effectLst/>
        </c:spPr>
      </c:pivotFmt>
      <c:pivotFmt>
        <c:idx val="8"/>
        <c:spPr>
          <a:solidFill>
            <a:srgbClr val="C00000"/>
          </a:solidFill>
          <a:ln w="12700">
            <a:solidFill>
              <a:srgbClr val="C00000"/>
            </a:solidFill>
          </a:ln>
          <a:effectLst/>
        </c:spPr>
      </c:pivotFmt>
      <c:pivotFmt>
        <c:idx val="9"/>
        <c:spPr>
          <a:solidFill>
            <a:srgbClr val="C00000"/>
          </a:solidFill>
          <a:ln w="12700">
            <a:solidFill>
              <a:srgbClr val="C00000"/>
            </a:solidFill>
          </a:ln>
          <a:effectLst/>
        </c:spPr>
      </c:pivotFmt>
      <c:pivotFmt>
        <c:idx val="10"/>
        <c:spPr>
          <a:solidFill>
            <a:srgbClr val="C00000"/>
          </a:solidFill>
          <a:ln w="12700">
            <a:solidFill>
              <a:srgbClr val="C00000"/>
            </a:solidFill>
          </a:ln>
          <a:effectLst/>
        </c:spPr>
      </c:pivotFmt>
      <c:pivotFmt>
        <c:idx val="11"/>
        <c:spPr>
          <a:solidFill>
            <a:srgbClr val="C00000"/>
          </a:solidFill>
          <a:ln w="12700">
            <a:solidFill>
              <a:srgbClr val="C00000"/>
            </a:solidFill>
          </a:ln>
          <a:effectLst/>
        </c:spPr>
      </c:pivotFmt>
      <c:pivotFmt>
        <c:idx val="12"/>
        <c:spPr>
          <a:solidFill>
            <a:srgbClr val="C00000"/>
          </a:solidFill>
          <a:ln w="12700">
            <a:solidFill>
              <a:srgbClr val="C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2">
                      <a:lumMod val="7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CB00">
              <a:alpha val="70000"/>
            </a:srgbClr>
          </a:solidFill>
          <a:ln w="12700">
            <a:solidFill>
              <a:srgbClr val="FFCB00">
                <a:alpha val="70000"/>
              </a:srgbClr>
            </a:solidFill>
          </a:ln>
          <a:effectLst/>
        </c:spPr>
      </c:pivotFmt>
      <c:pivotFmt>
        <c:idx val="14"/>
        <c:spPr>
          <a:solidFill>
            <a:srgbClr val="FFCB00">
              <a:alpha val="70000"/>
            </a:srgbClr>
          </a:solidFill>
          <a:ln w="12700">
            <a:solidFill>
              <a:srgbClr val="FFCB00">
                <a:alpha val="70000"/>
              </a:srgbClr>
            </a:solidFill>
          </a:ln>
          <a:effectLst/>
        </c:spPr>
      </c:pivotFmt>
      <c:pivotFmt>
        <c:idx val="15"/>
        <c:spPr>
          <a:solidFill>
            <a:srgbClr val="FFCB00">
              <a:alpha val="70000"/>
            </a:srgbClr>
          </a:solidFill>
          <a:ln w="12700">
            <a:solidFill>
              <a:srgbClr val="FFCB00">
                <a:alpha val="70000"/>
              </a:srgbClr>
            </a:solidFill>
          </a:ln>
          <a:effectLst/>
        </c:spPr>
      </c:pivotFmt>
      <c:pivotFmt>
        <c:idx val="16"/>
        <c:spPr>
          <a:solidFill>
            <a:srgbClr val="FFCB00">
              <a:alpha val="70000"/>
            </a:srgbClr>
          </a:solidFill>
          <a:ln w="12700">
            <a:solidFill>
              <a:srgbClr val="FFCB00">
                <a:alpha val="70000"/>
              </a:srgbClr>
            </a:solidFill>
          </a:ln>
          <a:effectLst/>
        </c:spPr>
      </c:pivotFmt>
      <c:pivotFmt>
        <c:idx val="17"/>
        <c:spPr>
          <a:solidFill>
            <a:srgbClr val="FFCB00">
              <a:alpha val="70000"/>
            </a:srgbClr>
          </a:solidFill>
          <a:ln w="12700">
            <a:solidFill>
              <a:srgbClr val="FFCB00">
                <a:alpha val="70000"/>
              </a:srgbClr>
            </a:solidFill>
          </a:ln>
          <a:effectLst/>
        </c:spPr>
      </c:pivotFmt>
      <c:pivotFmt>
        <c:idx val="18"/>
        <c:spPr>
          <a:solidFill>
            <a:srgbClr val="FFCB00">
              <a:alpha val="70000"/>
            </a:srgbClr>
          </a:solidFill>
          <a:ln w="12700">
            <a:solidFill>
              <a:srgbClr val="FFCB00">
                <a:alpha val="70000"/>
              </a:srgbClr>
            </a:solidFill>
          </a:ln>
          <a:effectLst/>
        </c:spPr>
      </c:pivotFmt>
      <c:pivotFmt>
        <c:idx val="19"/>
        <c:spPr>
          <a:solidFill>
            <a:srgbClr val="FFCB00">
              <a:alpha val="70000"/>
            </a:srgbClr>
          </a:solidFill>
          <a:ln w="12700">
            <a:solidFill>
              <a:srgbClr val="FFCB00">
                <a:alpha val="70000"/>
              </a:srgbClr>
            </a:solidFill>
          </a:ln>
          <a:effectLst/>
        </c:spPr>
      </c:pivotFmt>
      <c:pivotFmt>
        <c:idx val="20"/>
        <c:spPr>
          <a:solidFill>
            <a:srgbClr val="FFCB00">
              <a:alpha val="70000"/>
            </a:srgbClr>
          </a:solidFill>
          <a:ln w="12700">
            <a:solidFill>
              <a:srgbClr val="FFCB00">
                <a:alpha val="70000"/>
              </a:srgbClr>
            </a:solidFill>
          </a:ln>
          <a:effectLst/>
        </c:spPr>
      </c:pivotFmt>
      <c:pivotFmt>
        <c:idx val="21"/>
        <c:spPr>
          <a:solidFill>
            <a:srgbClr val="FFCB00">
              <a:alpha val="70000"/>
            </a:srgbClr>
          </a:solidFill>
          <a:ln w="12700">
            <a:solidFill>
              <a:srgbClr val="FFCB00">
                <a:alpha val="70000"/>
              </a:srgbClr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'KPIs &amp; Análises'!$B$35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 w="12700">
              <a:solidFill>
                <a:srgbClr val="C00000"/>
              </a:solidFill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rgbClr val="FFCB00">
                  <a:alpha val="70000"/>
                </a:srgbClr>
              </a:solidFill>
              <a:ln w="12700">
                <a:solidFill>
                  <a:srgbClr val="FFCB00">
                    <a:alpha val="7000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BD3-4E03-B8E1-055AC7405752}"/>
              </c:ext>
            </c:extLst>
          </c:dPt>
          <c:dPt>
            <c:idx val="10"/>
            <c:invertIfNegative val="0"/>
            <c:bubble3D val="0"/>
            <c:spPr>
              <a:solidFill>
                <a:srgbClr val="FFCB00">
                  <a:alpha val="70000"/>
                </a:srgbClr>
              </a:solidFill>
              <a:ln w="12700">
                <a:solidFill>
                  <a:srgbClr val="FFCB00">
                    <a:alpha val="7000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BD3-4E03-B8E1-055AC7405752}"/>
              </c:ext>
            </c:extLst>
          </c:dPt>
          <c:dPt>
            <c:idx val="11"/>
            <c:invertIfNegative val="0"/>
            <c:bubble3D val="0"/>
            <c:spPr>
              <a:solidFill>
                <a:srgbClr val="FFCB00">
                  <a:alpha val="70000"/>
                </a:srgbClr>
              </a:solidFill>
              <a:ln w="12700">
                <a:solidFill>
                  <a:srgbClr val="FFCB00">
                    <a:alpha val="7000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BD3-4E03-B8E1-055AC7405752}"/>
              </c:ext>
            </c:extLst>
          </c:dPt>
          <c:dPt>
            <c:idx val="12"/>
            <c:invertIfNegative val="0"/>
            <c:bubble3D val="0"/>
            <c:spPr>
              <a:solidFill>
                <a:srgbClr val="FFCB00">
                  <a:alpha val="70000"/>
                </a:srgbClr>
              </a:solidFill>
              <a:ln w="12700">
                <a:solidFill>
                  <a:srgbClr val="FFCB00">
                    <a:alpha val="7000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7BD3-4E03-B8E1-055AC7405752}"/>
              </c:ext>
            </c:extLst>
          </c:dPt>
          <c:dPt>
            <c:idx val="13"/>
            <c:invertIfNegative val="0"/>
            <c:bubble3D val="0"/>
            <c:spPr>
              <a:solidFill>
                <a:srgbClr val="FFCB00">
                  <a:alpha val="70000"/>
                </a:srgbClr>
              </a:solidFill>
              <a:ln w="12700">
                <a:solidFill>
                  <a:srgbClr val="FFCB00">
                    <a:alpha val="7000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D3-4E03-B8E1-055AC7405752}"/>
              </c:ext>
            </c:extLst>
          </c:dPt>
          <c:dPt>
            <c:idx val="14"/>
            <c:invertIfNegative val="0"/>
            <c:bubble3D val="0"/>
            <c:spPr>
              <a:solidFill>
                <a:srgbClr val="FFCB00">
                  <a:alpha val="70000"/>
                </a:srgbClr>
              </a:solidFill>
              <a:ln w="12700">
                <a:solidFill>
                  <a:srgbClr val="FFCB00">
                    <a:alpha val="7000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BD3-4E03-B8E1-055AC7405752}"/>
              </c:ext>
            </c:extLst>
          </c:dPt>
          <c:dPt>
            <c:idx val="15"/>
            <c:invertIfNegative val="0"/>
            <c:bubble3D val="0"/>
            <c:spPr>
              <a:solidFill>
                <a:srgbClr val="FFCB00">
                  <a:alpha val="70000"/>
                </a:srgbClr>
              </a:solidFill>
              <a:ln w="12700">
                <a:solidFill>
                  <a:srgbClr val="FFCB00">
                    <a:alpha val="7000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BD3-4E03-B8E1-055AC7405752}"/>
              </c:ext>
            </c:extLst>
          </c:dPt>
          <c:dPt>
            <c:idx val="16"/>
            <c:invertIfNegative val="0"/>
            <c:bubble3D val="0"/>
            <c:spPr>
              <a:solidFill>
                <a:srgbClr val="FFCB00">
                  <a:alpha val="70000"/>
                </a:srgbClr>
              </a:solidFill>
              <a:ln w="12700">
                <a:solidFill>
                  <a:srgbClr val="FFCB00">
                    <a:alpha val="7000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BD3-4E03-B8E1-055AC7405752}"/>
              </c:ext>
            </c:extLst>
          </c:dPt>
          <c:dPt>
            <c:idx val="17"/>
            <c:invertIfNegative val="0"/>
            <c:bubble3D val="0"/>
            <c:spPr>
              <a:solidFill>
                <a:srgbClr val="FFCB00">
                  <a:alpha val="70000"/>
                </a:srgbClr>
              </a:solidFill>
              <a:ln w="12700">
                <a:solidFill>
                  <a:srgbClr val="FFCB00">
                    <a:alpha val="7000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BD3-4E03-B8E1-055AC74057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2">
                        <a:lumMod val="7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'KPIs &amp; Análises'!$A$36:$A$53</c:f>
              <c:strCache>
                <c:ptCount val="18"/>
                <c:pt idx="0">
                  <c:v>Luanda</c:v>
                </c:pt>
                <c:pt idx="1">
                  <c:v>Zaire</c:v>
                </c:pt>
                <c:pt idx="2">
                  <c:v>Benguela</c:v>
                </c:pt>
                <c:pt idx="3">
                  <c:v>Uige</c:v>
                </c:pt>
                <c:pt idx="4">
                  <c:v>Cuanza Sul</c:v>
                </c:pt>
                <c:pt idx="5">
                  <c:v>Malanje</c:v>
                </c:pt>
                <c:pt idx="6">
                  <c:v>Cabinda</c:v>
                </c:pt>
                <c:pt idx="7">
                  <c:v>Huambo</c:v>
                </c:pt>
                <c:pt idx="8">
                  <c:v>Huíla</c:v>
                </c:pt>
                <c:pt idx="9">
                  <c:v>Bié</c:v>
                </c:pt>
                <c:pt idx="10">
                  <c:v>Moxico</c:v>
                </c:pt>
                <c:pt idx="11">
                  <c:v>Lunda Sul</c:v>
                </c:pt>
                <c:pt idx="12">
                  <c:v>Lunda Norte</c:v>
                </c:pt>
                <c:pt idx="13">
                  <c:v>Cuanza Norte</c:v>
                </c:pt>
                <c:pt idx="14">
                  <c:v>Bengo</c:v>
                </c:pt>
                <c:pt idx="15">
                  <c:v>Namibe</c:v>
                </c:pt>
                <c:pt idx="16">
                  <c:v>Cunene</c:v>
                </c:pt>
                <c:pt idx="17">
                  <c:v>Cuando Cubango</c:v>
                </c:pt>
              </c:strCache>
            </c:strRef>
          </c:cat>
          <c:val>
            <c:numRef>
              <c:f>'KPIs &amp; Análises'!$B$36:$B$53</c:f>
              <c:numCache>
                <c:formatCode>0.0%</c:formatCode>
                <c:ptCount val="18"/>
                <c:pt idx="0">
                  <c:v>0.31807959672804548</c:v>
                </c:pt>
                <c:pt idx="1">
                  <c:v>0.45892617047632001</c:v>
                </c:pt>
                <c:pt idx="2">
                  <c:v>0.5388054424195442</c:v>
                </c:pt>
                <c:pt idx="3">
                  <c:v>0.60538072299151835</c:v>
                </c:pt>
                <c:pt idx="4">
                  <c:v>0.65352353886827574</c:v>
                </c:pt>
                <c:pt idx="5">
                  <c:v>0.70108958351969941</c:v>
                </c:pt>
                <c:pt idx="6">
                  <c:v>0.74354513799856692</c:v>
                </c:pt>
                <c:pt idx="7">
                  <c:v>0.78031754390646546</c:v>
                </c:pt>
                <c:pt idx="8">
                  <c:v>0.81254199902513435</c:v>
                </c:pt>
                <c:pt idx="9">
                  <c:v>0.84288545075606902</c:v>
                </c:pt>
                <c:pt idx="10">
                  <c:v>0.87195738492617547</c:v>
                </c:pt>
                <c:pt idx="11">
                  <c:v>0.90095234598669649</c:v>
                </c:pt>
                <c:pt idx="12">
                  <c:v>0.92582765529414413</c:v>
                </c:pt>
                <c:pt idx="13">
                  <c:v>0.95069631588856529</c:v>
                </c:pt>
                <c:pt idx="14">
                  <c:v>0.97360580241296102</c:v>
                </c:pt>
                <c:pt idx="15">
                  <c:v>0.9858994927820135</c:v>
                </c:pt>
                <c:pt idx="16">
                  <c:v>0.99404265690465454</c:v>
                </c:pt>
                <c:pt idx="17">
                  <c:v>1.0000000000000002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0B-42EC-90FA-83D64A4513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72078303"/>
        <c:axId val="1972084127"/>
      </c:barChart>
      <c:catAx>
        <c:axId val="197207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>
                    <a:lumMod val="7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972084127"/>
        <c:crosses val="autoZero"/>
        <c:auto val="1"/>
        <c:lblAlgn val="ctr"/>
        <c:lblOffset val="100"/>
        <c:noMultiLvlLbl val="0"/>
      </c:catAx>
      <c:valAx>
        <c:axId val="1972084127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972078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[PIB POR PROVÍNCIA 2025 - Angola.xlsx]KPIs &amp; Análises!Tabela dinâmica15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2">
                      <a:lumMod val="7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B00">
              <a:alpha val="70000"/>
            </a:srgbClr>
          </a:solidFill>
          <a:ln w="19050">
            <a:solidFill>
              <a:srgbClr val="FFCB00">
                <a:alpha val="70000"/>
              </a:srgbClr>
            </a:solidFill>
          </a:ln>
          <a:effectLst/>
        </c:spPr>
        <c:dLbl>
          <c:idx val="0"/>
          <c:layout>
            <c:manualLayout>
              <c:x val="9.7812097812097806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2">
                      <a:lumMod val="7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 w="19050">
            <a:solidFill>
              <a:srgbClr val="C00000"/>
            </a:solidFill>
          </a:ln>
          <a:effectLst/>
        </c:spPr>
        <c:dLbl>
          <c:idx val="0"/>
          <c:layout>
            <c:manualLayout>
              <c:x val="-9.0090090090090086E-2"/>
              <c:y val="-9.72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2">
                      <a:lumMod val="7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2">
                      <a:lumMod val="7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B00">
              <a:alpha val="70000"/>
            </a:srgbClr>
          </a:solidFill>
          <a:ln w="19050">
            <a:solidFill>
              <a:srgbClr val="FFCB00">
                <a:alpha val="70000"/>
              </a:srgbClr>
            </a:solidFill>
          </a:ln>
          <a:effectLst/>
        </c:spPr>
        <c:dLbl>
          <c:idx val="0"/>
          <c:layout>
            <c:manualLayout>
              <c:x val="9.7812097812097806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2">
                      <a:lumMod val="7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 w="19050">
            <a:solidFill>
              <a:srgbClr val="C00000"/>
            </a:solidFill>
          </a:ln>
          <a:effectLst/>
        </c:spPr>
        <c:dLbl>
          <c:idx val="0"/>
          <c:layout>
            <c:manualLayout>
              <c:x val="-9.0090090090090086E-2"/>
              <c:y val="-9.72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2">
                      <a:lumMod val="7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2">
                      <a:lumMod val="7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CB00">
              <a:alpha val="70000"/>
            </a:srgbClr>
          </a:solidFill>
          <a:ln w="19050">
            <a:solidFill>
              <a:srgbClr val="FFCB00">
                <a:alpha val="70000"/>
              </a:srgbClr>
            </a:solidFill>
          </a:ln>
          <a:effectLst/>
        </c:spPr>
        <c:dLbl>
          <c:idx val="0"/>
          <c:layout>
            <c:manualLayout>
              <c:x val="9.7812097812097806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2">
                      <a:lumMod val="7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00000"/>
          </a:solidFill>
          <a:ln w="19050">
            <a:solidFill>
              <a:srgbClr val="C00000"/>
            </a:solidFill>
          </a:ln>
          <a:effectLst/>
        </c:spPr>
        <c:dLbl>
          <c:idx val="0"/>
          <c:layout>
            <c:manualLayout>
              <c:x val="-0.12924508074156393"/>
              <c:y val="-9.72221912237669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2">
                      <a:lumMod val="7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'KPIs &amp; Análises'!$E$37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CB00">
                  <a:alpha val="70000"/>
                </a:srgbClr>
              </a:solidFill>
              <a:ln w="19050">
                <a:solidFill>
                  <a:srgbClr val="FFCB00">
                    <a:alpha val="7000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E8-48C8-B6B1-22F35D87AFE8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E8-48C8-B6B1-22F35D87AFE8}"/>
              </c:ext>
            </c:extLst>
          </c:dPt>
          <c:dLbls>
            <c:dLbl>
              <c:idx val="0"/>
              <c:layout>
                <c:manualLayout>
                  <c:x val="9.7812097812097806E-2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1E8-48C8-B6B1-22F35D87AFE8}"/>
                </c:ext>
              </c:extLst>
            </c:dLbl>
            <c:dLbl>
              <c:idx val="1"/>
              <c:layout>
                <c:manualLayout>
                  <c:x val="-0.12924508074156393"/>
                  <c:y val="-9.72221912237669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1E8-48C8-B6B1-22F35D87AF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2">
                        <a:lumMod val="7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'KPIs &amp; Análises'!$D$38:$D$39</c:f>
              <c:strCache>
                <c:ptCount val="2"/>
                <c:pt idx="0">
                  <c:v>Interior</c:v>
                </c:pt>
                <c:pt idx="1">
                  <c:v>Litoral</c:v>
                </c:pt>
              </c:strCache>
            </c:strRef>
          </c:cat>
          <c:val>
            <c:numRef>
              <c:f>'KPIs &amp; Análises'!$E$38:$E$39</c:f>
              <c:numCache>
                <c:formatCode>0.0%</c:formatCode>
                <c:ptCount val="2"/>
                <c:pt idx="0">
                  <c:v>0.35830249685577853</c:v>
                </c:pt>
                <c:pt idx="1">
                  <c:v>0.64169750314422158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E8-48C8-B6B1-22F35D87AFE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bg2">
                  <a:lumMod val="7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[PIB POR PROVÍNCIA 2025 - Angola.xlsx]KPIs &amp; Análises!Tabela dinâmica13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B00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2">
                      <a:lumMod val="7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'KPIs &amp; Análises'!$H$19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B00">
                <a:alpha val="70000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044-4EE5-89E7-361C108436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2">
                        <a:lumMod val="7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'KPIs &amp; Análises'!$G$20:$G$29</c:f>
              <c:strCache>
                <c:ptCount val="10"/>
                <c:pt idx="0">
                  <c:v>Benguela</c:v>
                </c:pt>
                <c:pt idx="1">
                  <c:v>Bié</c:v>
                </c:pt>
                <c:pt idx="2">
                  <c:v>Cunene</c:v>
                </c:pt>
                <c:pt idx="3">
                  <c:v>Moxico</c:v>
                </c:pt>
                <c:pt idx="4">
                  <c:v>Bengo</c:v>
                </c:pt>
                <c:pt idx="5">
                  <c:v>Huíla</c:v>
                </c:pt>
                <c:pt idx="6">
                  <c:v>Malanje</c:v>
                </c:pt>
                <c:pt idx="7">
                  <c:v>Namibe</c:v>
                </c:pt>
                <c:pt idx="8">
                  <c:v>Cuanza Norte</c:v>
                </c:pt>
                <c:pt idx="9">
                  <c:v>Luanda</c:v>
                </c:pt>
              </c:strCache>
            </c:strRef>
          </c:cat>
          <c:val>
            <c:numRef>
              <c:f>'KPIs &amp; Análises'!$H$20:$H$29</c:f>
              <c:numCache>
                <c:formatCode>0.0%</c:formatCode>
                <c:ptCount val="10"/>
                <c:pt idx="0">
                  <c:v>0.6438334601250375</c:v>
                </c:pt>
                <c:pt idx="1">
                  <c:v>0.31664439224952146</c:v>
                </c:pt>
                <c:pt idx="2">
                  <c:v>0.30102799860458984</c:v>
                </c:pt>
                <c:pt idx="3">
                  <c:v>0.25538209982453486</c:v>
                </c:pt>
                <c:pt idx="4">
                  <c:v>0.24721482494295821</c:v>
                </c:pt>
                <c:pt idx="5">
                  <c:v>0.23303657212653772</c:v>
                </c:pt>
                <c:pt idx="6">
                  <c:v>0.22755614383183964</c:v>
                </c:pt>
                <c:pt idx="7">
                  <c:v>0.22124123567646503</c:v>
                </c:pt>
                <c:pt idx="8">
                  <c:v>0.21572759243294604</c:v>
                </c:pt>
                <c:pt idx="9">
                  <c:v>0.20613657366405125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44-4EE5-89E7-361C108436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649296"/>
        <c:axId val="131653872"/>
      </c:barChart>
      <c:catAx>
        <c:axId val="13164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2">
                    <a:lumMod val="7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31653872"/>
        <c:crosses val="autoZero"/>
        <c:auto val="1"/>
        <c:lblAlgn val="ctr"/>
        <c:lblOffset val="100"/>
        <c:noMultiLvlLbl val="0"/>
      </c:catAx>
      <c:valAx>
        <c:axId val="131653872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3164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[PIB POR PROVÍNCIA 2025 - Angola.xlsx]KPIs &amp; Análises!Tabela dinâmica3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B00">
              <a:alpha val="70000"/>
            </a:srgbClr>
          </a:solidFill>
          <a:ln>
            <a:solidFill>
              <a:srgbClr val="FFCB00">
                <a:alpha val="70000"/>
              </a:srgb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2">
                      <a:lumMod val="7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>
            <a:solidFill>
              <a:srgbClr val="C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2">
                      <a:lumMod val="7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'KPIs &amp; Análises'!$K$19:$K$20</c:f>
              <c:strCache>
                <c:ptCount val="1"/>
                <c:pt idx="0">
                  <c:v>Consistente</c:v>
                </c:pt>
              </c:strCache>
            </c:strRef>
          </c:tx>
          <c:spPr>
            <a:solidFill>
              <a:srgbClr val="FFCB00">
                <a:alpha val="70000"/>
              </a:srgbClr>
            </a:solidFill>
            <a:ln>
              <a:solidFill>
                <a:srgbClr val="FFCB00">
                  <a:alpha val="70000"/>
                </a:srgb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2">
                        <a:lumMod val="7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'KPIs &amp; Análises'!$J$21:$J$29</c:f>
              <c:strCache>
                <c:ptCount val="9"/>
                <c:pt idx="0">
                  <c:v>Bengo</c:v>
                </c:pt>
                <c:pt idx="1">
                  <c:v>Cabinda</c:v>
                </c:pt>
                <c:pt idx="2">
                  <c:v>Cuanza Norte</c:v>
                </c:pt>
                <c:pt idx="3">
                  <c:v>Huambo</c:v>
                </c:pt>
                <c:pt idx="4">
                  <c:v>Huíla</c:v>
                </c:pt>
                <c:pt idx="5">
                  <c:v>Luanda</c:v>
                </c:pt>
                <c:pt idx="6">
                  <c:v>Lunda Norte</c:v>
                </c:pt>
                <c:pt idx="7">
                  <c:v>Uige</c:v>
                </c:pt>
                <c:pt idx="8">
                  <c:v>Zaire</c:v>
                </c:pt>
              </c:strCache>
            </c:strRef>
          </c:cat>
          <c:val>
            <c:numRef>
              <c:f>'KPIs &amp; Análises'!$K$21:$K$29</c:f>
              <c:numCache>
                <c:formatCode>#,##0.00</c:formatCode>
                <c:ptCount val="9"/>
                <c:pt idx="2">
                  <c:v>7.1117604463955093</c:v>
                </c:pt>
                <c:pt idx="4">
                  <c:v>6.4500000497320267</c:v>
                </c:pt>
                <c:pt idx="6">
                  <c:v>6.504887115311889</c:v>
                </c:pt>
                <c:pt idx="8">
                  <c:v>6.5046243527035168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66-405F-A62E-864D29CF5BBA}"/>
            </c:ext>
          </c:extLst>
        </c:ser>
        <c:ser>
          <c:idx val="1"/>
          <c:order val="1"/>
          <c:tx>
            <c:strRef>
              <c:f>'KPIs &amp; Análises'!$L$19:$L$20</c:f>
              <c:strCache>
                <c:ptCount val="1"/>
                <c:pt idx="0">
                  <c:v>Muito Consistente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2">
                        <a:lumMod val="7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'KPIs &amp; Análises'!$J$21:$J$29</c:f>
              <c:strCache>
                <c:ptCount val="9"/>
                <c:pt idx="0">
                  <c:v>Bengo</c:v>
                </c:pt>
                <c:pt idx="1">
                  <c:v>Cabinda</c:v>
                </c:pt>
                <c:pt idx="2">
                  <c:v>Cuanza Norte</c:v>
                </c:pt>
                <c:pt idx="3">
                  <c:v>Huambo</c:v>
                </c:pt>
                <c:pt idx="4">
                  <c:v>Huíla</c:v>
                </c:pt>
                <c:pt idx="5">
                  <c:v>Luanda</c:v>
                </c:pt>
                <c:pt idx="6">
                  <c:v>Lunda Norte</c:v>
                </c:pt>
                <c:pt idx="7">
                  <c:v>Uige</c:v>
                </c:pt>
                <c:pt idx="8">
                  <c:v>Zaire</c:v>
                </c:pt>
              </c:strCache>
            </c:strRef>
          </c:cat>
          <c:val>
            <c:numRef>
              <c:f>'KPIs &amp; Análises'!$L$21:$L$29</c:f>
              <c:numCache>
                <c:formatCode>#,##0.00</c:formatCode>
                <c:ptCount val="9"/>
                <c:pt idx="0">
                  <c:v>5.6225624654209074</c:v>
                </c:pt>
                <c:pt idx="1">
                  <c:v>5.6081430887730273</c:v>
                </c:pt>
                <c:pt idx="3">
                  <c:v>5.6635623954190715</c:v>
                </c:pt>
                <c:pt idx="5">
                  <c:v>4.7079966373318634</c:v>
                </c:pt>
                <c:pt idx="7">
                  <c:v>2.9848931950438984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66-405F-A62E-864D29CF5B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192464000"/>
        <c:axId val="192474816"/>
      </c:barChart>
      <c:catAx>
        <c:axId val="19246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>
                    <a:lumMod val="7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92474816"/>
        <c:crosses val="autoZero"/>
        <c:auto val="1"/>
        <c:lblAlgn val="ctr"/>
        <c:lblOffset val="100"/>
        <c:noMultiLvlLbl val="0"/>
      </c:catAx>
      <c:valAx>
        <c:axId val="192474816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19246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bg2">
                  <a:lumMod val="7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'KPIs &amp; Análises'!$K$32</c:f>
              <c:strCache>
                <c:ptCount val="1"/>
                <c:pt idx="0">
                  <c:v>   Agropecuária</c:v>
                </c:pt>
              </c:strCache>
            </c:strRef>
          </c:tx>
          <c:spPr>
            <a:solidFill>
              <a:srgbClr val="FFCB00">
                <a:alpha val="70000"/>
              </a:srgbClr>
            </a:solidFill>
            <a:ln w="12700">
              <a:solidFill>
                <a:srgbClr val="FFCB00">
                  <a:alpha val="70000"/>
                </a:srgb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2">
                        <a:lumMod val="7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'KPIs &amp; Análises'!$J$33:$J$42</c:f>
              <c:strCache>
                <c:ptCount val="10"/>
                <c:pt idx="0">
                  <c:v>Bengo</c:v>
                </c:pt>
                <c:pt idx="1">
                  <c:v>Benguela</c:v>
                </c:pt>
                <c:pt idx="2">
                  <c:v>Bié</c:v>
                </c:pt>
                <c:pt idx="3">
                  <c:v>Cuanza Norte</c:v>
                </c:pt>
                <c:pt idx="4">
                  <c:v>Cunene</c:v>
                </c:pt>
                <c:pt idx="5">
                  <c:v>Huíla</c:v>
                </c:pt>
                <c:pt idx="6">
                  <c:v>Luanda</c:v>
                </c:pt>
                <c:pt idx="7">
                  <c:v>MalanJe</c:v>
                </c:pt>
                <c:pt idx="8">
                  <c:v>Moxico</c:v>
                </c:pt>
                <c:pt idx="9">
                  <c:v>Namibe</c:v>
                </c:pt>
              </c:strCache>
            </c:strRef>
          </c:cat>
          <c:val>
            <c:numRef>
              <c:f>'KPIs &amp; Análises'!$K$33:$K$42</c:f>
              <c:numCache>
                <c:formatCode>General</c:formatCode>
                <c:ptCount val="10"/>
                <c:pt idx="0" formatCode="0.0%">
                  <c:v>0.45776682820014358</c:v>
                </c:pt>
                <c:pt idx="2" formatCode="0.0%">
                  <c:v>0.49026285254494012</c:v>
                </c:pt>
                <c:pt idx="7" formatCode="0.0%">
                  <c:v>0.56238425862950492</c:v>
                </c:pt>
                <c:pt idx="8" formatCode="0.0%">
                  <c:v>0.49341881312543368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20-4879-8999-B507A0E755F0}"/>
            </c:ext>
          </c:extLst>
        </c:ser>
        <c:ser>
          <c:idx val="1"/>
          <c:order val="1"/>
          <c:tx>
            <c:strRef>
              <c:f>'KPIs &amp; Análises'!$L$32</c:f>
              <c:strCache>
                <c:ptCount val="1"/>
                <c:pt idx="0">
                  <c:v>   Serviços</c:v>
                </c:pt>
              </c:strCache>
            </c:strRef>
          </c:tx>
          <c:spPr>
            <a:solidFill>
              <a:srgbClr val="C00000"/>
            </a:solidFill>
            <a:ln w="12700">
              <a:solidFill>
                <a:srgbClr val="C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2">
                        <a:lumMod val="7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'KPIs &amp; Análises'!$J$33:$J$42</c:f>
              <c:strCache>
                <c:ptCount val="10"/>
                <c:pt idx="0">
                  <c:v>Bengo</c:v>
                </c:pt>
                <c:pt idx="1">
                  <c:v>Benguela</c:v>
                </c:pt>
                <c:pt idx="2">
                  <c:v>Bié</c:v>
                </c:pt>
                <c:pt idx="3">
                  <c:v>Cuanza Norte</c:v>
                </c:pt>
                <c:pt idx="4">
                  <c:v>Cunene</c:v>
                </c:pt>
                <c:pt idx="5">
                  <c:v>Huíla</c:v>
                </c:pt>
                <c:pt idx="6">
                  <c:v>Luanda</c:v>
                </c:pt>
                <c:pt idx="7">
                  <c:v>MalanJe</c:v>
                </c:pt>
                <c:pt idx="8">
                  <c:v>Moxico</c:v>
                </c:pt>
                <c:pt idx="9">
                  <c:v>Namibe</c:v>
                </c:pt>
              </c:strCache>
            </c:strRef>
          </c:cat>
          <c:val>
            <c:numRef>
              <c:f>'KPIs &amp; Análises'!$L$33:$L$42</c:f>
              <c:numCache>
                <c:formatCode>0.0%</c:formatCode>
                <c:ptCount val="10"/>
                <c:pt idx="1">
                  <c:v>0.58327887355655672</c:v>
                </c:pt>
                <c:pt idx="3">
                  <c:v>0.45352220069293658</c:v>
                </c:pt>
                <c:pt idx="4">
                  <c:v>0.46263195940619506</c:v>
                </c:pt>
                <c:pt idx="5">
                  <c:v>0.55264757806154641</c:v>
                </c:pt>
                <c:pt idx="6">
                  <c:v>0.73534060720094718</c:v>
                </c:pt>
                <c:pt idx="9">
                  <c:v>0.45983655666352768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20-4879-8999-B507A0E755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7890544"/>
        <c:axId val="307900944"/>
      </c:barChart>
      <c:catAx>
        <c:axId val="30789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2">
                    <a:lumMod val="7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307900944"/>
        <c:crosses val="autoZero"/>
        <c:auto val="1"/>
        <c:lblAlgn val="ctr"/>
        <c:lblOffset val="100"/>
        <c:noMultiLvlLbl val="0"/>
      </c:catAx>
      <c:valAx>
        <c:axId val="307900944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30789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bg2">
                  <a:lumMod val="7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B00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2">
                      <a:lumMod val="7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rgbClr val="FFCB00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2">
                      <a:lumMod val="7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>
            <a:noFill/>
          </a:ln>
          <a:effectLst/>
        </c:spPr>
      </c:pivotFmt>
      <c:pivotFmt>
        <c:idx val="6"/>
        <c:spPr>
          <a:solidFill>
            <a:srgbClr val="FFCB00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2">
                      <a:lumMod val="7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08898896"/>
        <c:axId val="608903056"/>
      </c:barChart>
      <c:catAx>
        <c:axId val="608898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2">
                    <a:lumMod val="7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608903056"/>
        <c:crosses val="autoZero"/>
        <c:auto val="1"/>
        <c:lblAlgn val="ctr"/>
        <c:lblOffset val="100"/>
        <c:noMultiLvlLbl val="0"/>
      </c:catAx>
      <c:valAx>
        <c:axId val="6089030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0889889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'KPIs &amp; Análises'!$P$19</c:f>
              <c:strCache>
                <c:ptCount val="1"/>
                <c:pt idx="0">
                  <c:v>Agropecuária </c:v>
                </c:pt>
              </c:strCache>
            </c:strRef>
          </c:tx>
          <c:spPr>
            <a:solidFill>
              <a:srgbClr val="FFCB00">
                <a:alpha val="70000"/>
              </a:srgbClr>
            </a:solidFill>
            <a:ln w="12700">
              <a:solidFill>
                <a:srgbClr val="FFCB00">
                  <a:alpha val="70000"/>
                </a:srgbClr>
              </a:solidFill>
            </a:ln>
            <a:effectLst/>
          </c:spPr>
          <c:invertIfNegative val="0"/>
          <c:cat>
            <c:strRef>
              <c:f>'KPIs &amp; Análises'!$O$20:$O$37</c:f>
              <c:strCache>
                <c:ptCount val="18"/>
                <c:pt idx="0">
                  <c:v>Bengo</c:v>
                </c:pt>
                <c:pt idx="1">
                  <c:v>Benguela</c:v>
                </c:pt>
                <c:pt idx="2">
                  <c:v>Bié</c:v>
                </c:pt>
                <c:pt idx="3">
                  <c:v>Cabinda</c:v>
                </c:pt>
                <c:pt idx="4">
                  <c:v>Cuando Cubango</c:v>
                </c:pt>
                <c:pt idx="5">
                  <c:v>Cuanza Norte</c:v>
                </c:pt>
                <c:pt idx="6">
                  <c:v>Cuanza Sul</c:v>
                </c:pt>
                <c:pt idx="7">
                  <c:v>Cunene</c:v>
                </c:pt>
                <c:pt idx="8">
                  <c:v>Huambo</c:v>
                </c:pt>
                <c:pt idx="9">
                  <c:v>Huíla</c:v>
                </c:pt>
                <c:pt idx="10">
                  <c:v>Luanda</c:v>
                </c:pt>
                <c:pt idx="11">
                  <c:v>Lunda Norte</c:v>
                </c:pt>
                <c:pt idx="12">
                  <c:v>Lunda Sul</c:v>
                </c:pt>
                <c:pt idx="13">
                  <c:v>Malanje</c:v>
                </c:pt>
                <c:pt idx="14">
                  <c:v>Moxico</c:v>
                </c:pt>
                <c:pt idx="15">
                  <c:v>Namibe</c:v>
                </c:pt>
                <c:pt idx="16">
                  <c:v>Uige</c:v>
                </c:pt>
                <c:pt idx="17">
                  <c:v>Zaire</c:v>
                </c:pt>
              </c:strCache>
            </c:strRef>
          </c:cat>
          <c:val>
            <c:numRef>
              <c:f>'KPIs &amp; Análises'!$P$20:$P$37</c:f>
              <c:numCache>
                <c:formatCode>0%</c:formatCode>
                <c:ptCount val="18"/>
                <c:pt idx="0">
                  <c:v>0.48731993886409974</c:v>
                </c:pt>
                <c:pt idx="1">
                  <c:v>0.22532308252558381</c:v>
                </c:pt>
                <c:pt idx="2">
                  <c:v>0.52692172495709477</c:v>
                </c:pt>
                <c:pt idx="3">
                  <c:v>0.20570764615210541</c:v>
                </c:pt>
                <c:pt idx="4">
                  <c:v>0.24439561709543098</c:v>
                </c:pt>
                <c:pt idx="5">
                  <c:v>0.46226522612481707</c:v>
                </c:pt>
                <c:pt idx="6">
                  <c:v>0.56354272557156848</c:v>
                </c:pt>
                <c:pt idx="7">
                  <c:v>8.4905266590181577E-2</c:v>
                </c:pt>
                <c:pt idx="8">
                  <c:v>0.41437985548173922</c:v>
                </c:pt>
                <c:pt idx="9">
                  <c:v>0.34947650056351864</c:v>
                </c:pt>
                <c:pt idx="10">
                  <c:v>3.644378486971496E-2</c:v>
                </c:pt>
                <c:pt idx="11">
                  <c:v>0.46837842766940363</c:v>
                </c:pt>
                <c:pt idx="12">
                  <c:v>0.38831705724456428</c:v>
                </c:pt>
                <c:pt idx="13">
                  <c:v>0.60658652574686067</c:v>
                </c:pt>
                <c:pt idx="14">
                  <c:v>0.54537546426861017</c:v>
                </c:pt>
                <c:pt idx="15">
                  <c:v>0.27298126634670061</c:v>
                </c:pt>
                <c:pt idx="16">
                  <c:v>0.61570164651790638</c:v>
                </c:pt>
                <c:pt idx="17">
                  <c:v>6.7946026712172286E-2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7-495D-BAD9-BA0465977E6C}"/>
            </c:ext>
          </c:extLst>
        </c:ser>
        <c:ser>
          <c:idx val="1"/>
          <c:order val="1"/>
          <c:tx>
            <c:strRef>
              <c:f>'KPIs &amp; Análises'!$Q$19</c:f>
              <c:strCache>
                <c:ptCount val="1"/>
                <c:pt idx="0">
                  <c:v>Indústria 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 w="12700"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cat>
            <c:strRef>
              <c:f>'KPIs &amp; Análises'!$O$20:$O$37</c:f>
              <c:strCache>
                <c:ptCount val="18"/>
                <c:pt idx="0">
                  <c:v>Bengo</c:v>
                </c:pt>
                <c:pt idx="1">
                  <c:v>Benguela</c:v>
                </c:pt>
                <c:pt idx="2">
                  <c:v>Bié</c:v>
                </c:pt>
                <c:pt idx="3">
                  <c:v>Cabinda</c:v>
                </c:pt>
                <c:pt idx="4">
                  <c:v>Cuando Cubango</c:v>
                </c:pt>
                <c:pt idx="5">
                  <c:v>Cuanza Norte</c:v>
                </c:pt>
                <c:pt idx="6">
                  <c:v>Cuanza Sul</c:v>
                </c:pt>
                <c:pt idx="7">
                  <c:v>Cunene</c:v>
                </c:pt>
                <c:pt idx="8">
                  <c:v>Huambo</c:v>
                </c:pt>
                <c:pt idx="9">
                  <c:v>Huíla</c:v>
                </c:pt>
                <c:pt idx="10">
                  <c:v>Luanda</c:v>
                </c:pt>
                <c:pt idx="11">
                  <c:v>Lunda Norte</c:v>
                </c:pt>
                <c:pt idx="12">
                  <c:v>Lunda Sul</c:v>
                </c:pt>
                <c:pt idx="13">
                  <c:v>Malanje</c:v>
                </c:pt>
                <c:pt idx="14">
                  <c:v>Moxico</c:v>
                </c:pt>
                <c:pt idx="15">
                  <c:v>Namibe</c:v>
                </c:pt>
                <c:pt idx="16">
                  <c:v>Uige</c:v>
                </c:pt>
                <c:pt idx="17">
                  <c:v>Zaire</c:v>
                </c:pt>
              </c:strCache>
            </c:strRef>
          </c:cat>
          <c:val>
            <c:numRef>
              <c:f>'KPIs &amp; Análises'!$Q$20:$Q$37</c:f>
              <c:numCache>
                <c:formatCode>0%</c:formatCode>
                <c:ptCount val="18"/>
                <c:pt idx="0">
                  <c:v>0.1561296443641281</c:v>
                </c:pt>
                <c:pt idx="1">
                  <c:v>0.14740816387388508</c:v>
                </c:pt>
                <c:pt idx="2">
                  <c:v>5.0960936822644631E-2</c:v>
                </c:pt>
                <c:pt idx="3">
                  <c:v>0.53861211557354416</c:v>
                </c:pt>
                <c:pt idx="4">
                  <c:v>0.24572209947122137</c:v>
                </c:pt>
                <c:pt idx="5">
                  <c:v>0.11080813374058265</c:v>
                </c:pt>
                <c:pt idx="6">
                  <c:v>7.1914030829188028E-2</c:v>
                </c:pt>
                <c:pt idx="7">
                  <c:v>0.3999450164162609</c:v>
                </c:pt>
                <c:pt idx="8">
                  <c:v>7.4527334089153241E-2</c:v>
                </c:pt>
                <c:pt idx="9">
                  <c:v>0.1367942677308617</c:v>
                </c:pt>
                <c:pt idx="10">
                  <c:v>0.21671797368375056</c:v>
                </c:pt>
                <c:pt idx="11">
                  <c:v>0.11289508514496757</c:v>
                </c:pt>
                <c:pt idx="12">
                  <c:v>0.31497078371531551</c:v>
                </c:pt>
                <c:pt idx="13">
                  <c:v>5.6852038640370119E-2</c:v>
                </c:pt>
                <c:pt idx="14">
                  <c:v>8.7832742564222591E-2</c:v>
                </c:pt>
                <c:pt idx="15">
                  <c:v>0.24422038162740123</c:v>
                </c:pt>
                <c:pt idx="16">
                  <c:v>4.0789025956044937E-2</c:v>
                </c:pt>
                <c:pt idx="17">
                  <c:v>0.88399720839940643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E7-495D-BAD9-BA0465977E6C}"/>
            </c:ext>
          </c:extLst>
        </c:ser>
        <c:ser>
          <c:idx val="2"/>
          <c:order val="2"/>
          <c:tx>
            <c:strRef>
              <c:f>'KPIs &amp; Análises'!$R$19</c:f>
              <c:strCache>
                <c:ptCount val="1"/>
                <c:pt idx="0">
                  <c:v>Serviços </c:v>
                </c:pt>
              </c:strCache>
            </c:strRef>
          </c:tx>
          <c:spPr>
            <a:solidFill>
              <a:srgbClr val="C00000"/>
            </a:solidFill>
            <a:ln w="12700">
              <a:solidFill>
                <a:srgbClr val="C00000"/>
              </a:solidFill>
            </a:ln>
            <a:effectLst/>
          </c:spPr>
          <c:invertIfNegative val="0"/>
          <c:cat>
            <c:strRef>
              <c:f>'KPIs &amp; Análises'!$O$20:$O$37</c:f>
              <c:strCache>
                <c:ptCount val="18"/>
                <c:pt idx="0">
                  <c:v>Bengo</c:v>
                </c:pt>
                <c:pt idx="1">
                  <c:v>Benguela</c:v>
                </c:pt>
                <c:pt idx="2">
                  <c:v>Bié</c:v>
                </c:pt>
                <c:pt idx="3">
                  <c:v>Cabinda</c:v>
                </c:pt>
                <c:pt idx="4">
                  <c:v>Cuando Cubango</c:v>
                </c:pt>
                <c:pt idx="5">
                  <c:v>Cuanza Norte</c:v>
                </c:pt>
                <c:pt idx="6">
                  <c:v>Cuanza Sul</c:v>
                </c:pt>
                <c:pt idx="7">
                  <c:v>Cunene</c:v>
                </c:pt>
                <c:pt idx="8">
                  <c:v>Huambo</c:v>
                </c:pt>
                <c:pt idx="9">
                  <c:v>Huíla</c:v>
                </c:pt>
                <c:pt idx="10">
                  <c:v>Luanda</c:v>
                </c:pt>
                <c:pt idx="11">
                  <c:v>Lunda Norte</c:v>
                </c:pt>
                <c:pt idx="12">
                  <c:v>Lunda Sul</c:v>
                </c:pt>
                <c:pt idx="13">
                  <c:v>Malanje</c:v>
                </c:pt>
                <c:pt idx="14">
                  <c:v>Moxico</c:v>
                </c:pt>
                <c:pt idx="15">
                  <c:v>Namibe</c:v>
                </c:pt>
                <c:pt idx="16">
                  <c:v>Uige</c:v>
                </c:pt>
                <c:pt idx="17">
                  <c:v>Zaire</c:v>
                </c:pt>
              </c:strCache>
            </c:strRef>
          </c:cat>
          <c:val>
            <c:numRef>
              <c:f>'KPIs &amp; Análises'!$R$20:$R$37</c:f>
              <c:numCache>
                <c:formatCode>0%</c:formatCode>
                <c:ptCount val="18"/>
                <c:pt idx="0">
                  <c:v>0.3561744813352426</c:v>
                </c:pt>
                <c:pt idx="1">
                  <c:v>0.62512072605894387</c:v>
                </c:pt>
                <c:pt idx="2">
                  <c:v>0.42205700327182838</c:v>
                </c:pt>
                <c:pt idx="3">
                  <c:v>0.25447623017287907</c:v>
                </c:pt>
                <c:pt idx="4">
                  <c:v>0.50948835303447781</c:v>
                </c:pt>
                <c:pt idx="5">
                  <c:v>0.42678557388372751</c:v>
                </c:pt>
                <c:pt idx="6">
                  <c:v>0.36441756177275975</c:v>
                </c:pt>
                <c:pt idx="7">
                  <c:v>0.50161156314884359</c:v>
                </c:pt>
                <c:pt idx="8">
                  <c:v>0.51090006797184306</c:v>
                </c:pt>
                <c:pt idx="9">
                  <c:v>0.51296135971670054</c:v>
                </c:pt>
                <c:pt idx="10">
                  <c:v>0.72765626299411212</c:v>
                </c:pt>
                <c:pt idx="11">
                  <c:v>0.41866599345408018</c:v>
                </c:pt>
                <c:pt idx="12">
                  <c:v>0.29652222063111972</c:v>
                </c:pt>
                <c:pt idx="13">
                  <c:v>0.33651345318520315</c:v>
                </c:pt>
                <c:pt idx="14">
                  <c:v>0.36668657141632904</c:v>
                </c:pt>
                <c:pt idx="15">
                  <c:v>0.47994318828960242</c:v>
                </c:pt>
                <c:pt idx="16">
                  <c:v>0.34348731233193797</c:v>
                </c:pt>
                <c:pt idx="17">
                  <c:v>4.7975943157420861E-2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E7-495D-BAD9-BA0465977E6C}"/>
            </c:ext>
          </c:extLst>
        </c:ser>
        <c:ser>
          <c:idx val="3"/>
          <c:order val="3"/>
          <c:tx>
            <c:strRef>
              <c:f>'KPIs &amp; Análises'!$S$19</c:f>
              <c:strCache>
                <c:ptCount val="1"/>
                <c:pt idx="0">
                  <c:v>Impostos sobre os Produtos </c:v>
                </c:pt>
              </c:strCache>
            </c:strRef>
          </c:tx>
          <c:spPr>
            <a:solidFill>
              <a:srgbClr val="00B0F0"/>
            </a:solidFill>
            <a:ln w="12700">
              <a:solidFill>
                <a:srgbClr val="00B0F0"/>
              </a:solidFill>
            </a:ln>
            <a:effectLst/>
          </c:spPr>
          <c:invertIfNegative val="0"/>
          <c:cat>
            <c:strRef>
              <c:f>'KPIs &amp; Análises'!$O$20:$O$37</c:f>
              <c:strCache>
                <c:ptCount val="18"/>
                <c:pt idx="0">
                  <c:v>Bengo</c:v>
                </c:pt>
                <c:pt idx="1">
                  <c:v>Benguela</c:v>
                </c:pt>
                <c:pt idx="2">
                  <c:v>Bié</c:v>
                </c:pt>
                <c:pt idx="3">
                  <c:v>Cabinda</c:v>
                </c:pt>
                <c:pt idx="4">
                  <c:v>Cuando Cubango</c:v>
                </c:pt>
                <c:pt idx="5">
                  <c:v>Cuanza Norte</c:v>
                </c:pt>
                <c:pt idx="6">
                  <c:v>Cuanza Sul</c:v>
                </c:pt>
                <c:pt idx="7">
                  <c:v>Cunene</c:v>
                </c:pt>
                <c:pt idx="8">
                  <c:v>Huambo</c:v>
                </c:pt>
                <c:pt idx="9">
                  <c:v>Huíla</c:v>
                </c:pt>
                <c:pt idx="10">
                  <c:v>Luanda</c:v>
                </c:pt>
                <c:pt idx="11">
                  <c:v>Lunda Norte</c:v>
                </c:pt>
                <c:pt idx="12">
                  <c:v>Lunda Sul</c:v>
                </c:pt>
                <c:pt idx="13">
                  <c:v>Malanje</c:v>
                </c:pt>
                <c:pt idx="14">
                  <c:v>Moxico</c:v>
                </c:pt>
                <c:pt idx="15">
                  <c:v>Namibe</c:v>
                </c:pt>
                <c:pt idx="16">
                  <c:v>Uige</c:v>
                </c:pt>
                <c:pt idx="17">
                  <c:v>Zaire</c:v>
                </c:pt>
              </c:strCache>
            </c:strRef>
          </c:cat>
          <c:val>
            <c:numRef>
              <c:f>'KPIs &amp; Análises'!$S$20:$S$37</c:f>
              <c:numCache>
                <c:formatCode>0%</c:formatCode>
                <c:ptCount val="18"/>
                <c:pt idx="0">
                  <c:v>3.7593543652949824E-4</c:v>
                </c:pt>
                <c:pt idx="1">
                  <c:v>2.1480275415873152E-3</c:v>
                </c:pt>
                <c:pt idx="2">
                  <c:v>6.033494843238655E-5</c:v>
                </c:pt>
                <c:pt idx="3">
                  <c:v>1.2040081014713627E-3</c:v>
                </c:pt>
                <c:pt idx="4">
                  <c:v>3.9393039886984873E-4</c:v>
                </c:pt>
                <c:pt idx="5">
                  <c:v>1.4106625087268506E-4</c:v>
                </c:pt>
                <c:pt idx="6">
                  <c:v>1.2568182648365519E-4</c:v>
                </c:pt>
                <c:pt idx="7">
                  <c:v>1.3538153844713872E-2</c:v>
                </c:pt>
                <c:pt idx="8">
                  <c:v>1.9274245726445059E-4</c:v>
                </c:pt>
                <c:pt idx="9">
                  <c:v>7.678719889190912E-4</c:v>
                </c:pt>
                <c:pt idx="10">
                  <c:v>1.9181978452422414E-2</c:v>
                </c:pt>
                <c:pt idx="11">
                  <c:v>6.0493731548520293E-5</c:v>
                </c:pt>
                <c:pt idx="12">
                  <c:v>1.8993840900058265E-4</c:v>
                </c:pt>
                <c:pt idx="13">
                  <c:v>4.7982427566056368E-5</c:v>
                </c:pt>
                <c:pt idx="14">
                  <c:v>1.0522175083833588E-4</c:v>
                </c:pt>
                <c:pt idx="15">
                  <c:v>2.8551637362957487E-3</c:v>
                </c:pt>
                <c:pt idx="16">
                  <c:v>2.2015194110680442E-5</c:v>
                </c:pt>
                <c:pt idx="17">
                  <c:v>8.0821731000430317E-5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E7-495D-BAD9-BA0465977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2593120"/>
        <c:axId val="712584800"/>
      </c:barChart>
      <c:catAx>
        <c:axId val="712593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2">
                    <a:lumMod val="7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712584800"/>
        <c:crosses val="autoZero"/>
        <c:auto val="1"/>
        <c:lblAlgn val="ctr"/>
        <c:lblOffset val="100"/>
        <c:noMultiLvlLbl val="0"/>
      </c:catAx>
      <c:valAx>
        <c:axId val="712584800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bg2">
                  <a:lumMod val="25000"/>
                  <a:alpha val="6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2">
                    <a:lumMod val="7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71259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bg2">
                  <a:lumMod val="7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_xlchart.v5.2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waterfall" uniqueId="{24706A82-6416-45EA-9179-C8DADA2AF7CB}">
          <cx:tx>
            <cx:txData>
              <cx:f>_xlchart.v5.1</cx:f>
              <cx:v>Dinamismo do Crescimento</cx:v>
            </cx:txData>
          </cx:tx>
          <cx:spPr>
            <a:ln>
              <a:noFill/>
            </a:ln>
          </cx:spPr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00" b="1">
                    <a:solidFill>
                      <a:schemeClr val="bg2">
                        <a:lumMod val="75000"/>
                      </a:schemeClr>
                    </a:solidFill>
                  </a:defRPr>
                </a:pPr>
                <a:endParaRPr lang="pt-BR" sz="1000" b="1" i="0" u="none" strike="noStrike" baseline="0">
                  <a:solidFill>
                    <a:schemeClr val="bg2">
                      <a:lumMod val="75000"/>
                    </a:schemeClr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spPr>
          <a:ln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 b="1">
                <a:solidFill>
                  <a:schemeClr val="bg2">
                    <a:lumMod val="75000"/>
                  </a:schemeClr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pt-BR" sz="1000" b="1" i="0" u="none" strike="noStrike" baseline="0">
              <a:solidFill>
                <a:schemeClr val="bg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 hidden="1">
        <cx:valScaling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000" b="1">
              <a:solidFill>
                <a:schemeClr val="bg2">
                  <a:lumMod val="75000"/>
                </a:schemeClr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pt-BR" sz="1000" b="1" i="0" u="none" strike="noStrike" baseline="0">
            <a:solidFill>
              <a:schemeClr val="bg2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  <cx:spPr>
    <a:noFill/>
    <a:ln>
      <a:noFill/>
    </a:ln>
  </cx:spPr>
  <cx:fmtOvrs>
    <cx:fmtOvr idx="1">
      <cx:spPr>
        <a:solidFill>
          <a:srgbClr val="FFCB00">
            <a:alpha val="69804"/>
          </a:srgbClr>
        </a:solidFill>
      </cx:spPr>
    </cx:fmtOvr>
    <cx:fmtOvr idx="0">
      <cx:spPr>
        <a:solidFill>
          <a:srgbClr val="C00000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chart" Target="../charts/chart3.xml"/><Relationship Id="rId7" Type="http://schemas.openxmlformats.org/officeDocument/2006/relationships/hyperlink" Target="#'Estrutura Setorial'!A1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hyperlink" Target="#'Pre&#231;o vs Volume'!A1"/><Relationship Id="rId5" Type="http://schemas.openxmlformats.org/officeDocument/2006/relationships/hyperlink" Target="#'Evolu&#231;&#227;o Econ&#244;mica'!A1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14/relationships/chartEx" Target="../charts/chartEx1.xml"/><Relationship Id="rId3" Type="http://schemas.openxmlformats.org/officeDocument/2006/relationships/hyperlink" Target="#'Evolu&#231;&#227;o Econ&#244;mica'!A1"/><Relationship Id="rId7" Type="http://schemas.openxmlformats.org/officeDocument/2006/relationships/chart" Target="../charts/chart6.xml"/><Relationship Id="rId2" Type="http://schemas.openxmlformats.org/officeDocument/2006/relationships/hyperlink" Target="#'Vis&#227;o Geral'!A1"/><Relationship Id="rId1" Type="http://schemas.openxmlformats.org/officeDocument/2006/relationships/image" Target="../media/image2.png"/><Relationship Id="rId6" Type="http://schemas.openxmlformats.org/officeDocument/2006/relationships/chart" Target="../charts/chart5.xml"/><Relationship Id="rId5" Type="http://schemas.openxmlformats.org/officeDocument/2006/relationships/hyperlink" Target="#'Estrutura Setorial'!A1"/><Relationship Id="rId4" Type="http://schemas.openxmlformats.org/officeDocument/2006/relationships/hyperlink" Target="#'Pre&#231;o vs Volume'!A1"/><Relationship Id="rId9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Vis&#227;o Geral'!A1"/><Relationship Id="rId2" Type="http://schemas.openxmlformats.org/officeDocument/2006/relationships/image" Target="../media/image3.png"/><Relationship Id="rId1" Type="http://schemas.openxmlformats.org/officeDocument/2006/relationships/chart" Target="../charts/chart8.xml"/><Relationship Id="rId6" Type="http://schemas.openxmlformats.org/officeDocument/2006/relationships/image" Target="../media/image2.png"/><Relationship Id="rId5" Type="http://schemas.openxmlformats.org/officeDocument/2006/relationships/hyperlink" Target="#'Estrutura Setorial'!A1"/><Relationship Id="rId4" Type="http://schemas.openxmlformats.org/officeDocument/2006/relationships/hyperlink" Target="#'Evolu&#231;&#227;o Econ&#244;mica'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'Evolu&#231;&#227;o Econ&#244;mica'!A1"/><Relationship Id="rId2" Type="http://schemas.openxmlformats.org/officeDocument/2006/relationships/hyperlink" Target="#'Vis&#227;o Geral'!A1"/><Relationship Id="rId1" Type="http://schemas.openxmlformats.org/officeDocument/2006/relationships/chart" Target="../charts/chart9.xml"/><Relationship Id="rId5" Type="http://schemas.openxmlformats.org/officeDocument/2006/relationships/image" Target="../media/image2.png"/><Relationship Id="rId4" Type="http://schemas.openxmlformats.org/officeDocument/2006/relationships/hyperlink" Target="#'Pre&#231;o vs Volume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38100</xdr:rowOff>
    </xdr:from>
    <xdr:to>
      <xdr:col>2</xdr:col>
      <xdr:colOff>19050</xdr:colOff>
      <xdr:row>10</xdr:row>
      <xdr:rowOff>8860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99112C3-336E-4AD8-87DB-267FCA8EB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38100"/>
          <a:ext cx="1181100" cy="18757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182375</xdr:colOff>
      <xdr:row>0</xdr:row>
      <xdr:rowOff>0</xdr:rowOff>
    </xdr:from>
    <xdr:to>
      <xdr:col>79</xdr:col>
      <xdr:colOff>162927</xdr:colOff>
      <xdr:row>46</xdr:row>
      <xdr:rowOff>183717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87A0DA97-A94B-4B42-8C66-32CF63AD7D02}"/>
            </a:ext>
          </a:extLst>
        </xdr:cNvPr>
        <xdr:cNvGrpSpPr/>
      </xdr:nvGrpSpPr>
      <xdr:grpSpPr>
        <a:xfrm>
          <a:off x="182375" y="0"/>
          <a:ext cx="16812230" cy="8831414"/>
          <a:chOff x="0" y="2"/>
          <a:chExt cx="16729197" cy="8730505"/>
        </a:xfrm>
      </xdr:grpSpPr>
      <xdr:sp macro="" textlink="">
        <xdr:nvSpPr>
          <xdr:cNvPr id="2" name="Retângulo 1">
            <a:extLst>
              <a:ext uri="{FF2B5EF4-FFF2-40B4-BE49-F238E27FC236}">
                <a16:creationId xmlns:a16="http://schemas.microsoft.com/office/drawing/2014/main" id="{ED7D5DFD-0556-4BA3-A4D4-1AB2391F3372}"/>
              </a:ext>
            </a:extLst>
          </xdr:cNvPr>
          <xdr:cNvSpPr/>
        </xdr:nvSpPr>
        <xdr:spPr>
          <a:xfrm>
            <a:off x="0" y="36634"/>
            <a:ext cx="16717291" cy="8693873"/>
          </a:xfrm>
          <a:prstGeom prst="rect">
            <a:avLst/>
          </a:prstGeom>
          <a:solidFill>
            <a:srgbClr val="0A0A0B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EBC27C4E-8333-423C-8484-654C014F3B5C}"/>
              </a:ext>
            </a:extLst>
          </xdr:cNvPr>
          <xdr:cNvSpPr/>
        </xdr:nvSpPr>
        <xdr:spPr>
          <a:xfrm>
            <a:off x="0" y="2"/>
            <a:ext cx="16729197" cy="872191"/>
          </a:xfrm>
          <a:prstGeom prst="rect">
            <a:avLst/>
          </a:prstGeom>
          <a:solidFill>
            <a:srgbClr val="120B0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lvl="4" algn="l"/>
            <a:r>
              <a:rPr lang="pt-BR" sz="2400">
                <a:latin typeface="Arial Black" panose="020B0A04020102020204" pitchFamily="34" charset="0"/>
              </a:rPr>
              <a:t>PIB por </a:t>
            </a:r>
            <a:r>
              <a:rPr lang="pt-BR" sz="2400">
                <a:solidFill>
                  <a:srgbClr val="C00000"/>
                </a:solidFill>
                <a:latin typeface="Arial Black" panose="020B0A04020102020204" pitchFamily="34" charset="0"/>
              </a:rPr>
              <a:t>Província</a:t>
            </a:r>
            <a:r>
              <a:rPr lang="pt-BR" sz="2400">
                <a:latin typeface="Arial Black" panose="020B0A04020102020204" pitchFamily="34" charset="0"/>
              </a:rPr>
              <a:t> — Painel de Análise Económica</a:t>
            </a:r>
            <a:endParaRPr lang="pt-AO" sz="2400">
              <a:latin typeface="Arial Black" panose="020B0A04020102020204" pitchFamily="34" charset="0"/>
            </a:endParaRPr>
          </a:p>
          <a:p>
            <a:pPr lvl="4" algn="l"/>
            <a:r>
              <a:rPr lang="pt-AO" sz="1200">
                <a:solidFill>
                  <a:srgbClr val="FFCB00"/>
                </a:solidFill>
                <a:latin typeface="Arial Black" panose="020B0A04020102020204" pitchFamily="34" charset="0"/>
              </a:rPr>
              <a:t>Valores</a:t>
            </a:r>
            <a:r>
              <a:rPr lang="pt-AO" sz="1200" baseline="0">
                <a:solidFill>
                  <a:srgbClr val="FFCB00"/>
                </a:solidFill>
                <a:latin typeface="Arial Black" panose="020B0A04020102020204" pitchFamily="34" charset="0"/>
              </a:rPr>
              <a:t> em mil milhões de Kwanzas</a:t>
            </a:r>
            <a:r>
              <a:rPr lang="pt-AO" sz="1200">
                <a:solidFill>
                  <a:srgbClr val="FFCB00"/>
                </a:solidFill>
                <a:latin typeface="Arial Black" panose="020B0A04020102020204" pitchFamily="34" charset="0"/>
              </a:rPr>
              <a:t>  </a:t>
            </a:r>
            <a:endParaRPr lang="pt-BR" sz="1200">
              <a:solidFill>
                <a:srgbClr val="FFCB00"/>
              </a:solidFill>
              <a:latin typeface="Arial Black" panose="020B0A04020102020204" pitchFamily="34" charset="0"/>
            </a:endParaRPr>
          </a:p>
          <a:p>
            <a:pPr algn="l"/>
            <a:endParaRPr lang="pt-BR" sz="1100"/>
          </a:p>
        </xdr:txBody>
      </xdr:sp>
    </xdr:grpSp>
    <xdr:clientData/>
  </xdr:twoCellAnchor>
  <xdr:twoCellAnchor>
    <xdr:from>
      <xdr:col>23</xdr:col>
      <xdr:colOff>108015</xdr:colOff>
      <xdr:row>5</xdr:row>
      <xdr:rowOff>134647</xdr:rowOff>
    </xdr:from>
    <xdr:to>
      <xdr:col>36</xdr:col>
      <xdr:colOff>99742</xdr:colOff>
      <xdr:row>11</xdr:row>
      <xdr:rowOff>146859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7C37EF5C-1E19-4A78-95C8-9717E395D59D}"/>
            </a:ext>
          </a:extLst>
        </xdr:cNvPr>
        <xdr:cNvGrpSpPr/>
      </xdr:nvGrpSpPr>
      <xdr:grpSpPr>
        <a:xfrm>
          <a:off x="5008377" y="1074614"/>
          <a:ext cx="2761497" cy="1140173"/>
          <a:chOff x="4818494" y="1074614"/>
          <a:chExt cx="2656800" cy="1140173"/>
        </a:xfrm>
      </xdr:grpSpPr>
      <xdr:sp macro="" textlink="">
        <xdr:nvSpPr>
          <xdr:cNvPr id="35" name="Retângulo: Cantos Arredondados 34">
            <a:extLst>
              <a:ext uri="{FF2B5EF4-FFF2-40B4-BE49-F238E27FC236}">
                <a16:creationId xmlns:a16="http://schemas.microsoft.com/office/drawing/2014/main" id="{CA9CAEAF-5317-4BCD-9405-33DA5E7981F5}"/>
              </a:ext>
            </a:extLst>
          </xdr:cNvPr>
          <xdr:cNvSpPr/>
        </xdr:nvSpPr>
        <xdr:spPr>
          <a:xfrm>
            <a:off x="4818494" y="1074614"/>
            <a:ext cx="2656800" cy="1140173"/>
          </a:xfrm>
          <a:prstGeom prst="roundRect">
            <a:avLst>
              <a:gd name="adj" fmla="val 4291"/>
            </a:avLst>
          </a:prstGeom>
          <a:solidFill>
            <a:srgbClr val="18191C"/>
          </a:solidFill>
          <a:ln w="9525">
            <a:solidFill>
              <a:schemeClr val="bg2">
                <a:lumMod val="25000"/>
              </a:schemeClr>
            </a:solidFill>
          </a:ln>
          <a:effectLst>
            <a:innerShdw blurRad="114300">
              <a:prstClr val="black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AO" sz="1200" b="1" baseline="0">
                <a:solidFill>
                  <a:schemeClr val="bg1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Concentração Econômica</a:t>
            </a:r>
          </a:p>
        </xdr:txBody>
      </xdr:sp>
      <xdr:sp macro="" textlink="'KPIs &amp; Análises'!B6">
        <xdr:nvSpPr>
          <xdr:cNvPr id="48" name="CaixaDeTexto 47">
            <a:extLst>
              <a:ext uri="{FF2B5EF4-FFF2-40B4-BE49-F238E27FC236}">
                <a16:creationId xmlns:a16="http://schemas.microsoft.com/office/drawing/2014/main" id="{7D1659C3-3605-4995-9A8F-A7DED47F3D4D}"/>
              </a:ext>
            </a:extLst>
          </xdr:cNvPr>
          <xdr:cNvSpPr txBox="1"/>
        </xdr:nvSpPr>
        <xdr:spPr>
          <a:xfrm>
            <a:off x="4954609" y="1434053"/>
            <a:ext cx="2067928" cy="40105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AO" sz="2000" b="0" i="0" u="none" strike="noStrike">
                <a:solidFill>
                  <a:schemeClr val="bg1"/>
                </a:solidFill>
                <a:latin typeface="Arial Black" panose="020B0A04020102020204" pitchFamily="34" charset="0"/>
                <a:ea typeface="Calibri"/>
                <a:cs typeface="Calibri"/>
              </a:rPr>
              <a:t>81,3%</a:t>
            </a:r>
            <a:endParaRPr lang="pt-BR" sz="4000">
              <a:solidFill>
                <a:schemeClr val="bg1"/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34" name="CaixaDeTexto 33">
            <a:extLst>
              <a:ext uri="{FF2B5EF4-FFF2-40B4-BE49-F238E27FC236}">
                <a16:creationId xmlns:a16="http://schemas.microsoft.com/office/drawing/2014/main" id="{EB2736C0-8ADC-4488-81FE-374BDBB051A3}"/>
              </a:ext>
            </a:extLst>
          </xdr:cNvPr>
          <xdr:cNvSpPr txBox="1"/>
        </xdr:nvSpPr>
        <xdr:spPr>
          <a:xfrm>
            <a:off x="4925426" y="1842336"/>
            <a:ext cx="2531646" cy="33838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AO" sz="1100" b="1" baseline="0">
                <a:solidFill>
                  <a:schemeClr val="bg2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9 Províncias concentram o PIB</a:t>
            </a:r>
            <a:endParaRPr lang="pt-BR" sz="1100" b="1">
              <a:solidFill>
                <a:schemeClr val="bg2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37</xdr:col>
      <xdr:colOff>72911</xdr:colOff>
      <xdr:row>5</xdr:row>
      <xdr:rowOff>97691</xdr:rowOff>
    </xdr:from>
    <xdr:to>
      <xdr:col>50</xdr:col>
      <xdr:colOff>64638</xdr:colOff>
      <xdr:row>11</xdr:row>
      <xdr:rowOff>109903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BF826B68-8770-42E3-88A7-C5243A9D00FD}"/>
            </a:ext>
          </a:extLst>
        </xdr:cNvPr>
        <xdr:cNvGrpSpPr/>
      </xdr:nvGrpSpPr>
      <xdr:grpSpPr>
        <a:xfrm>
          <a:off x="7956102" y="1037658"/>
          <a:ext cx="2761497" cy="1140173"/>
          <a:chOff x="7654462" y="1037658"/>
          <a:chExt cx="2656800" cy="1140173"/>
        </a:xfrm>
      </xdr:grpSpPr>
      <xdr:sp macro="" textlink="">
        <xdr:nvSpPr>
          <xdr:cNvPr id="36" name="Retângulo: Cantos Arredondados 35">
            <a:extLst>
              <a:ext uri="{FF2B5EF4-FFF2-40B4-BE49-F238E27FC236}">
                <a16:creationId xmlns:a16="http://schemas.microsoft.com/office/drawing/2014/main" id="{B85E35F7-6EFD-4DBA-A172-D66DE4128CE5}"/>
              </a:ext>
            </a:extLst>
          </xdr:cNvPr>
          <xdr:cNvSpPr/>
        </xdr:nvSpPr>
        <xdr:spPr>
          <a:xfrm>
            <a:off x="7654462" y="1037658"/>
            <a:ext cx="2656800" cy="1140173"/>
          </a:xfrm>
          <a:prstGeom prst="roundRect">
            <a:avLst>
              <a:gd name="adj" fmla="val 4291"/>
            </a:avLst>
          </a:prstGeom>
          <a:solidFill>
            <a:srgbClr val="18191C"/>
          </a:solidFill>
          <a:ln w="9525">
            <a:solidFill>
              <a:schemeClr val="bg2">
                <a:lumMod val="25000"/>
              </a:schemeClr>
            </a:solidFill>
          </a:ln>
          <a:effectLst>
            <a:innerShdw blurRad="114300">
              <a:prstClr val="black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AO" sz="1200" b="1" baseline="0">
                <a:solidFill>
                  <a:schemeClr val="bg1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Maior PIB Per Capita - 2025</a:t>
            </a:r>
          </a:p>
        </xdr:txBody>
      </xdr:sp>
      <xdr:sp macro="" textlink="'KPIs &amp; Análises'!B7">
        <xdr:nvSpPr>
          <xdr:cNvPr id="50" name="CaixaDeTexto 49">
            <a:extLst>
              <a:ext uri="{FF2B5EF4-FFF2-40B4-BE49-F238E27FC236}">
                <a16:creationId xmlns:a16="http://schemas.microsoft.com/office/drawing/2014/main" id="{42255512-C13C-4F46-8332-5FB02EA5CF2E}"/>
              </a:ext>
            </a:extLst>
          </xdr:cNvPr>
          <xdr:cNvSpPr txBox="1"/>
        </xdr:nvSpPr>
        <xdr:spPr>
          <a:xfrm>
            <a:off x="7791159" y="1434053"/>
            <a:ext cx="2067928" cy="40105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62CAE356-2F25-45D4-A254-DE86E0D453FF}" type="TxLink">
              <a:rPr lang="en-US" sz="2000" b="0" i="0" u="none" strike="noStrike">
                <a:solidFill>
                  <a:schemeClr val="bg1"/>
                </a:solidFill>
                <a:latin typeface="Arial Black" panose="020B0A04020102020204" pitchFamily="34" charset="0"/>
                <a:ea typeface="Calibri"/>
                <a:cs typeface="Calibri"/>
              </a:rPr>
              <a:pPr/>
              <a:t>Zaire</a:t>
            </a:fld>
            <a:endParaRPr lang="en-US" sz="2000" b="0" i="0" u="none" strike="noStrike">
              <a:solidFill>
                <a:schemeClr val="bg1"/>
              </a:solidFill>
              <a:latin typeface="Arial Black" panose="020B0A04020102020204" pitchFamily="34" charset="0"/>
              <a:ea typeface="Calibri"/>
              <a:cs typeface="Calibri"/>
            </a:endParaRPr>
          </a:p>
        </xdr:txBody>
      </xdr:sp>
      <xdr:grpSp>
        <xdr:nvGrpSpPr>
          <xdr:cNvPr id="56" name="Agrupar 55">
            <a:extLst>
              <a:ext uri="{FF2B5EF4-FFF2-40B4-BE49-F238E27FC236}">
                <a16:creationId xmlns:a16="http://schemas.microsoft.com/office/drawing/2014/main" id="{F753E53B-956A-4382-82EA-FBF591227A63}"/>
              </a:ext>
            </a:extLst>
          </xdr:cNvPr>
          <xdr:cNvGrpSpPr/>
        </xdr:nvGrpSpPr>
        <xdr:grpSpPr>
          <a:xfrm>
            <a:off x="7792325" y="1829803"/>
            <a:ext cx="1321094" cy="325855"/>
            <a:chOff x="7792325" y="1873063"/>
            <a:chExt cx="1321094" cy="338388"/>
          </a:xfrm>
        </xdr:grpSpPr>
        <xdr:sp macro="" textlink="#REF!">
          <xdr:nvSpPr>
            <xdr:cNvPr id="60" name="CaixaDeTexto 59">
              <a:extLst>
                <a:ext uri="{FF2B5EF4-FFF2-40B4-BE49-F238E27FC236}">
                  <a16:creationId xmlns:a16="http://schemas.microsoft.com/office/drawing/2014/main" id="{A9CDA85A-10A4-4340-84B8-D031129A5B71}"/>
                </a:ext>
              </a:extLst>
            </xdr:cNvPr>
            <xdr:cNvSpPr txBox="1"/>
          </xdr:nvSpPr>
          <xdr:spPr>
            <a:xfrm>
              <a:off x="7792325" y="1873063"/>
              <a:ext cx="880440" cy="33838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7B8229ED-4D16-4E01-B7A1-A164418259E5}" type="TxLink">
                <a:rPr lang="en-US" sz="1100" b="1" i="0" u="none" strike="noStrike">
                  <a:solidFill>
                    <a:schemeClr val="bg2">
                      <a:lumMod val="75000"/>
                    </a:schemeClr>
                  </a:solidFill>
                  <a:latin typeface="Segoe UI" panose="020B0502040204020203" pitchFamily="34" charset="0"/>
                  <a:ea typeface="Calibri"/>
                  <a:cs typeface="Segoe UI" panose="020B0502040204020203" pitchFamily="34" charset="0"/>
                </a:rPr>
                <a:pPr/>
                <a:t>25 830</a:t>
              </a:fld>
              <a:endParaRPr lang="pt-BR" sz="1100" b="1">
                <a:solidFill>
                  <a:schemeClr val="bg2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61" name="CaixaDeTexto 60">
              <a:extLst>
                <a:ext uri="{FF2B5EF4-FFF2-40B4-BE49-F238E27FC236}">
                  <a16:creationId xmlns:a16="http://schemas.microsoft.com/office/drawing/2014/main" id="{981570C1-9171-49D4-A5E9-5ED99D12DC80}"/>
                </a:ext>
              </a:extLst>
            </xdr:cNvPr>
            <xdr:cNvSpPr txBox="1"/>
          </xdr:nvSpPr>
          <xdr:spPr>
            <a:xfrm>
              <a:off x="8232979" y="1873063"/>
              <a:ext cx="880440" cy="33838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AO" sz="1100" b="1" i="0" u="none" strike="noStrike">
                  <a:solidFill>
                    <a:schemeClr val="bg2">
                      <a:lumMod val="75000"/>
                    </a:schemeClr>
                  </a:solidFill>
                  <a:latin typeface="Segoe UI" panose="020B0502040204020203" pitchFamily="34" charset="0"/>
                  <a:ea typeface="Calibri"/>
                  <a:cs typeface="Segoe UI" panose="020B0502040204020203" pitchFamily="34" charset="0"/>
                </a:rPr>
                <a:t> Kz/hab.</a:t>
              </a:r>
            </a:p>
          </xdr:txBody>
        </xdr:sp>
      </xdr:grpSp>
    </xdr:grpSp>
    <xdr:clientData/>
  </xdr:twoCellAnchor>
  <xdr:twoCellAnchor>
    <xdr:from>
      <xdr:col>9</xdr:col>
      <xdr:colOff>143119</xdr:colOff>
      <xdr:row>5</xdr:row>
      <xdr:rowOff>122115</xdr:rowOff>
    </xdr:from>
    <xdr:to>
      <xdr:col>22</xdr:col>
      <xdr:colOff>134846</xdr:colOff>
      <xdr:row>11</xdr:row>
      <xdr:rowOff>134327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09C9DACB-D22C-49B9-BA33-730476FAD262}"/>
            </a:ext>
          </a:extLst>
        </xdr:cNvPr>
        <xdr:cNvGrpSpPr/>
      </xdr:nvGrpSpPr>
      <xdr:grpSpPr>
        <a:xfrm>
          <a:off x="2060652" y="1062082"/>
          <a:ext cx="2761497" cy="1140173"/>
          <a:chOff x="1982526" y="1062082"/>
          <a:chExt cx="2656800" cy="1140173"/>
        </a:xfrm>
      </xdr:grpSpPr>
      <xdr:sp macro="" textlink="">
        <xdr:nvSpPr>
          <xdr:cNvPr id="32" name="Retângulo: Cantos Arredondados 31">
            <a:extLst>
              <a:ext uri="{FF2B5EF4-FFF2-40B4-BE49-F238E27FC236}">
                <a16:creationId xmlns:a16="http://schemas.microsoft.com/office/drawing/2014/main" id="{7A45CF72-344F-4644-8AF1-7DAFFCB589FC}"/>
              </a:ext>
            </a:extLst>
          </xdr:cNvPr>
          <xdr:cNvSpPr/>
        </xdr:nvSpPr>
        <xdr:spPr>
          <a:xfrm>
            <a:off x="1982526" y="1062082"/>
            <a:ext cx="2656800" cy="1140173"/>
          </a:xfrm>
          <a:prstGeom prst="roundRect">
            <a:avLst>
              <a:gd name="adj" fmla="val 4291"/>
            </a:avLst>
          </a:prstGeom>
          <a:solidFill>
            <a:srgbClr val="18191C"/>
          </a:solidFill>
          <a:ln w="9525">
            <a:solidFill>
              <a:schemeClr val="bg2">
                <a:lumMod val="25000"/>
              </a:schemeClr>
            </a:solidFill>
          </a:ln>
          <a:effectLst>
            <a:innerShdw blurRad="114300">
              <a:prstClr val="black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AO" sz="1200" b="1" baseline="0">
                <a:solidFill>
                  <a:schemeClr val="bg1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PIB  Nacional (2025)</a:t>
            </a:r>
          </a:p>
        </xdr:txBody>
      </xdr:sp>
      <xdr:sp macro="" textlink="'KPIs &amp; Análises'!B5">
        <xdr:nvSpPr>
          <xdr:cNvPr id="28" name="CaixaDeTexto 27">
            <a:extLst>
              <a:ext uri="{FF2B5EF4-FFF2-40B4-BE49-F238E27FC236}">
                <a16:creationId xmlns:a16="http://schemas.microsoft.com/office/drawing/2014/main" id="{57FEEBAD-DEEC-4C72-B2F3-E0F157A7E3D3}"/>
              </a:ext>
            </a:extLst>
          </xdr:cNvPr>
          <xdr:cNvSpPr txBox="1"/>
        </xdr:nvSpPr>
        <xdr:spPr>
          <a:xfrm>
            <a:off x="2118059" y="1434053"/>
            <a:ext cx="2431382" cy="40105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0DB500A0-404E-488D-A154-86E098C5863D}" type="TxLink">
              <a:rPr lang="en-US" sz="2000" b="0" i="0" u="none" strike="noStrike">
                <a:solidFill>
                  <a:schemeClr val="bg1"/>
                </a:solidFill>
                <a:latin typeface="Arial Black" panose="020B0A04020102020204" pitchFamily="34" charset="0"/>
                <a:ea typeface="Calibri"/>
                <a:cs typeface="Calibri"/>
              </a:rPr>
              <a:pPr/>
              <a:t>128 302,02 Kz</a:t>
            </a:fld>
            <a:endParaRPr lang="pt-BR" sz="2000">
              <a:solidFill>
                <a:schemeClr val="bg1"/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63" name="CaixaDeTexto 62">
            <a:extLst>
              <a:ext uri="{FF2B5EF4-FFF2-40B4-BE49-F238E27FC236}">
                <a16:creationId xmlns:a16="http://schemas.microsoft.com/office/drawing/2014/main" id="{5A31B352-0299-4870-B1A6-94F13046D56D}"/>
              </a:ext>
            </a:extLst>
          </xdr:cNvPr>
          <xdr:cNvSpPr txBox="1"/>
        </xdr:nvSpPr>
        <xdr:spPr>
          <a:xfrm>
            <a:off x="2107530" y="1844341"/>
            <a:ext cx="2418849" cy="33838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AO" sz="1100" b="1">
                <a:solidFill>
                  <a:schemeClr val="bg2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mil</a:t>
            </a:r>
            <a:r>
              <a:rPr lang="pt-AO" sz="1100" b="1" baseline="0">
                <a:solidFill>
                  <a:schemeClr val="bg2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milhões Kz</a:t>
            </a:r>
            <a:endParaRPr lang="pt-BR" sz="1100" b="1">
              <a:solidFill>
                <a:schemeClr val="bg2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9</xdr:col>
      <xdr:colOff>158157</xdr:colOff>
      <xdr:row>12</xdr:row>
      <xdr:rowOff>85481</xdr:rowOff>
    </xdr:from>
    <xdr:to>
      <xdr:col>43</xdr:col>
      <xdr:colOff>139575</xdr:colOff>
      <xdr:row>27</xdr:row>
      <xdr:rowOff>62665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B633AD07-B9D0-4820-BE25-63B1AC1A107C}"/>
            </a:ext>
          </a:extLst>
        </xdr:cNvPr>
        <xdr:cNvGrpSpPr/>
      </xdr:nvGrpSpPr>
      <xdr:grpSpPr>
        <a:xfrm>
          <a:off x="2075690" y="2341402"/>
          <a:ext cx="7225431" cy="2797085"/>
          <a:chOff x="1996994" y="2341402"/>
          <a:chExt cx="6951493" cy="2797085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01617E72-285D-4AA6-9511-8D12C951A699}"/>
              </a:ext>
            </a:extLst>
          </xdr:cNvPr>
          <xdr:cNvSpPr/>
        </xdr:nvSpPr>
        <xdr:spPr>
          <a:xfrm>
            <a:off x="1996994" y="2341402"/>
            <a:ext cx="6951493" cy="2797085"/>
          </a:xfrm>
          <a:prstGeom prst="roundRect">
            <a:avLst>
              <a:gd name="adj" fmla="val 4291"/>
            </a:avLst>
          </a:prstGeom>
          <a:solidFill>
            <a:srgbClr val="18191C"/>
          </a:solidFill>
          <a:ln w="9525">
            <a:solidFill>
              <a:schemeClr val="bg2">
                <a:lumMod val="25000"/>
              </a:schemeClr>
            </a:solidFill>
          </a:ln>
          <a:effectLst>
            <a:innerShdw blurRad="114300">
              <a:prstClr val="black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AO" sz="1200" b="1" baseline="0">
                <a:solidFill>
                  <a:schemeClr val="bg1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As 10 maiores economias provinciais (2025)</a:t>
            </a:r>
          </a:p>
        </xdr:txBody>
      </xdr:sp>
      <xdr:graphicFrame macro="">
        <xdr:nvGraphicFramePr>
          <xdr:cNvPr id="38" name="Gráfico 37">
            <a:extLst>
              <a:ext uri="{FF2B5EF4-FFF2-40B4-BE49-F238E27FC236}">
                <a16:creationId xmlns:a16="http://schemas.microsoft.com/office/drawing/2014/main" id="{8A9FC75D-86EA-42BF-8A32-220A78E97166}"/>
              </a:ext>
            </a:extLst>
          </xdr:cNvPr>
          <xdr:cNvGraphicFramePr>
            <a:graphicFrameLocks/>
          </xdr:cNvGraphicFramePr>
        </xdr:nvGraphicFramePr>
        <xdr:xfrm>
          <a:off x="2080461" y="2656973"/>
          <a:ext cx="6817894" cy="240631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44</xdr:col>
      <xdr:colOff>95864</xdr:colOff>
      <xdr:row>12</xdr:row>
      <xdr:rowOff>109018</xdr:rowOff>
    </xdr:from>
    <xdr:to>
      <xdr:col>78</xdr:col>
      <xdr:colOff>47562</xdr:colOff>
      <xdr:row>27</xdr:row>
      <xdr:rowOff>86317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4650DBF2-A205-4A50-BC47-960B5FCF6EF7}"/>
            </a:ext>
          </a:extLst>
        </xdr:cNvPr>
        <xdr:cNvGrpSpPr/>
      </xdr:nvGrpSpPr>
      <xdr:grpSpPr>
        <a:xfrm>
          <a:off x="9470469" y="2364939"/>
          <a:ext cx="7195711" cy="2797200"/>
          <a:chOff x="9111414" y="2364939"/>
          <a:chExt cx="6922899" cy="2797200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E03719C9-1E2B-4191-AA3A-354A9BC3864A}"/>
              </a:ext>
            </a:extLst>
          </xdr:cNvPr>
          <xdr:cNvSpPr/>
        </xdr:nvSpPr>
        <xdr:spPr>
          <a:xfrm>
            <a:off x="9111414" y="2364939"/>
            <a:ext cx="6922899" cy="2797200"/>
          </a:xfrm>
          <a:prstGeom prst="roundRect">
            <a:avLst>
              <a:gd name="adj" fmla="val 4291"/>
            </a:avLst>
          </a:prstGeom>
          <a:solidFill>
            <a:srgbClr val="18191C"/>
          </a:solidFill>
          <a:ln w="9525">
            <a:solidFill>
              <a:schemeClr val="bg2">
                <a:lumMod val="25000"/>
              </a:schemeClr>
            </a:solidFill>
          </a:ln>
          <a:effectLst>
            <a:innerShdw blurRad="114300">
              <a:prstClr val="black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AO" sz="1200" b="1" baseline="0">
                <a:solidFill>
                  <a:schemeClr val="bg1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Participação de Cada Província no PIB Nacional — 2025</a:t>
            </a:r>
          </a:p>
        </xdr:txBody>
      </xdr:sp>
      <xdr:graphicFrame macro="">
        <xdr:nvGraphicFramePr>
          <xdr:cNvPr id="39" name="Gráfico 38">
            <a:extLst>
              <a:ext uri="{FF2B5EF4-FFF2-40B4-BE49-F238E27FC236}">
                <a16:creationId xmlns:a16="http://schemas.microsoft.com/office/drawing/2014/main" id="{0A7AE5A5-5297-440A-B087-45768F5E9C9A}"/>
              </a:ext>
            </a:extLst>
          </xdr:cNvPr>
          <xdr:cNvGraphicFramePr>
            <a:graphicFrameLocks/>
          </xdr:cNvGraphicFramePr>
        </xdr:nvGraphicFramePr>
        <xdr:xfrm>
          <a:off x="9199145" y="2732171"/>
          <a:ext cx="6755229" cy="23812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51</xdr:col>
      <xdr:colOff>104420</xdr:colOff>
      <xdr:row>7</xdr:row>
      <xdr:rowOff>132637</xdr:rowOff>
    </xdr:from>
    <xdr:to>
      <xdr:col>53</xdr:col>
      <xdr:colOff>106293</xdr:colOff>
      <xdr:row>9</xdr:row>
      <xdr:rowOff>157703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AF303099-B4DD-41BA-8179-BD18349A3D01}"/>
            </a:ext>
          </a:extLst>
        </xdr:cNvPr>
        <xdr:cNvSpPr txBox="1"/>
      </xdr:nvSpPr>
      <xdr:spPr>
        <a:xfrm>
          <a:off x="10970440" y="1448591"/>
          <a:ext cx="427991" cy="4010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AO" sz="2000" b="1" i="0" u="none" strike="noStrike">
              <a:solidFill>
                <a:schemeClr val="bg1"/>
              </a:solidFill>
              <a:latin typeface="Arial Black" panose="020B0A04020102020204" pitchFamily="34" charset="0"/>
              <a:ea typeface="Calibri"/>
              <a:cs typeface="Calibri"/>
            </a:rPr>
            <a:t>+</a:t>
          </a:r>
          <a:endParaRPr lang="en-US" sz="2000" b="1" i="0" u="none" strike="noStrike">
            <a:solidFill>
              <a:schemeClr val="bg1"/>
            </a:solidFill>
            <a:latin typeface="Arial Black" panose="020B0A04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51</xdr:col>
      <xdr:colOff>37808</xdr:colOff>
      <xdr:row>5</xdr:row>
      <xdr:rowOff>85802</xdr:rowOff>
    </xdr:from>
    <xdr:to>
      <xdr:col>64</xdr:col>
      <xdr:colOff>29536</xdr:colOff>
      <xdr:row>11</xdr:row>
      <xdr:rowOff>100265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F9FD6ED6-CA8D-4C9B-8504-CEA08145D93B}"/>
            </a:ext>
          </a:extLst>
        </xdr:cNvPr>
        <xdr:cNvGrpSpPr/>
      </xdr:nvGrpSpPr>
      <xdr:grpSpPr>
        <a:xfrm>
          <a:off x="10903828" y="1025769"/>
          <a:ext cx="2761497" cy="1142424"/>
          <a:chOff x="10490430" y="1025769"/>
          <a:chExt cx="2656800" cy="1142424"/>
        </a:xfrm>
      </xdr:grpSpPr>
      <xdr:sp macro="" textlink="">
        <xdr:nvSpPr>
          <xdr:cNvPr id="37" name="Retângulo: Cantos Arredondados 36">
            <a:extLst>
              <a:ext uri="{FF2B5EF4-FFF2-40B4-BE49-F238E27FC236}">
                <a16:creationId xmlns:a16="http://schemas.microsoft.com/office/drawing/2014/main" id="{6D06EBF5-0997-472C-A0AD-F6A25A41D0A9}"/>
              </a:ext>
            </a:extLst>
          </xdr:cNvPr>
          <xdr:cNvSpPr/>
        </xdr:nvSpPr>
        <xdr:spPr>
          <a:xfrm>
            <a:off x="10490430" y="1025769"/>
            <a:ext cx="2656800" cy="1140173"/>
          </a:xfrm>
          <a:prstGeom prst="roundRect">
            <a:avLst>
              <a:gd name="adj" fmla="val 4291"/>
            </a:avLst>
          </a:prstGeom>
          <a:solidFill>
            <a:srgbClr val="18191C"/>
          </a:solidFill>
          <a:ln w="9525">
            <a:solidFill>
              <a:schemeClr val="bg2">
                <a:lumMod val="25000"/>
              </a:schemeClr>
            </a:solidFill>
          </a:ln>
          <a:effectLst>
            <a:innerShdw blurRad="114300">
              <a:prstClr val="black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AO" sz="1200" b="1" baseline="0">
                <a:solidFill>
                  <a:schemeClr val="bg1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Crescimento Real do PIB</a:t>
            </a:r>
          </a:p>
        </xdr:txBody>
      </xdr:sp>
      <xdr:sp macro="" textlink="'KPIs &amp; Análises'!B8">
        <xdr:nvSpPr>
          <xdr:cNvPr id="58" name="CaixaDeTexto 57">
            <a:extLst>
              <a:ext uri="{FF2B5EF4-FFF2-40B4-BE49-F238E27FC236}">
                <a16:creationId xmlns:a16="http://schemas.microsoft.com/office/drawing/2014/main" id="{F7573266-D65E-4B13-B1E1-40F76532DE35}"/>
              </a:ext>
            </a:extLst>
          </xdr:cNvPr>
          <xdr:cNvSpPr txBox="1"/>
        </xdr:nvSpPr>
        <xdr:spPr>
          <a:xfrm>
            <a:off x="10753039" y="1434053"/>
            <a:ext cx="940153" cy="40105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C33007C3-FE60-4FED-AC16-731364B769F0}" type="TxLink">
              <a:rPr lang="en-US" sz="2000" b="1" i="0" u="none" strike="noStrike">
                <a:solidFill>
                  <a:schemeClr val="bg1"/>
                </a:solidFill>
                <a:latin typeface="Arial Black" panose="020B0A04020102020204" pitchFamily="34" charset="0"/>
                <a:ea typeface="Calibri"/>
                <a:cs typeface="Calibri"/>
              </a:rPr>
              <a:pPr/>
              <a:t>3,13</a:t>
            </a:fld>
            <a:endParaRPr lang="pt-BR" sz="6600" b="1">
              <a:solidFill>
                <a:schemeClr val="bg1"/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44" name="CaixaDeTexto 43">
            <a:extLst>
              <a:ext uri="{FF2B5EF4-FFF2-40B4-BE49-F238E27FC236}">
                <a16:creationId xmlns:a16="http://schemas.microsoft.com/office/drawing/2014/main" id="{1DD318F3-C357-4203-BD12-A7D83B24746A}"/>
              </a:ext>
            </a:extLst>
          </xdr:cNvPr>
          <xdr:cNvSpPr txBox="1"/>
        </xdr:nvSpPr>
        <xdr:spPr>
          <a:xfrm>
            <a:off x="10602829" y="1829805"/>
            <a:ext cx="2468980" cy="33838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AO" sz="1100" b="1">
                <a:solidFill>
                  <a:schemeClr val="bg2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2025 vs 2024</a:t>
            </a:r>
            <a:endParaRPr lang="pt-BR" sz="1100" b="1">
              <a:solidFill>
                <a:schemeClr val="bg2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65</xdr:col>
      <xdr:colOff>2703</xdr:colOff>
      <xdr:row>5</xdr:row>
      <xdr:rowOff>98336</xdr:rowOff>
    </xdr:from>
    <xdr:to>
      <xdr:col>77</xdr:col>
      <xdr:colOff>207490</xdr:colOff>
      <xdr:row>11</xdr:row>
      <xdr:rowOff>110548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5B53AE62-F4A2-42A6-B880-D3F6CBF05BE9}"/>
            </a:ext>
          </a:extLst>
        </xdr:cNvPr>
        <xdr:cNvGrpSpPr/>
      </xdr:nvGrpSpPr>
      <xdr:grpSpPr>
        <a:xfrm>
          <a:off x="13851552" y="1038303"/>
          <a:ext cx="2761497" cy="1140173"/>
          <a:chOff x="13326397" y="1038303"/>
          <a:chExt cx="2656800" cy="1140173"/>
        </a:xfrm>
      </xdr:grpSpPr>
      <xdr:sp macro="" textlink="">
        <xdr:nvSpPr>
          <xdr:cNvPr id="46" name="Retângulo: Cantos Arredondados 45">
            <a:extLst>
              <a:ext uri="{FF2B5EF4-FFF2-40B4-BE49-F238E27FC236}">
                <a16:creationId xmlns:a16="http://schemas.microsoft.com/office/drawing/2014/main" id="{E76FB919-40CE-4B15-AB11-94476307CACE}"/>
              </a:ext>
            </a:extLst>
          </xdr:cNvPr>
          <xdr:cNvSpPr/>
        </xdr:nvSpPr>
        <xdr:spPr>
          <a:xfrm>
            <a:off x="13326397" y="1038303"/>
            <a:ext cx="2656800" cy="1140173"/>
          </a:xfrm>
          <a:prstGeom prst="roundRect">
            <a:avLst>
              <a:gd name="adj" fmla="val 4291"/>
            </a:avLst>
          </a:prstGeom>
          <a:solidFill>
            <a:srgbClr val="18191C"/>
          </a:solidFill>
          <a:ln w="9525">
            <a:solidFill>
              <a:schemeClr val="bg2">
                <a:lumMod val="25000"/>
              </a:schemeClr>
            </a:solidFill>
          </a:ln>
          <a:effectLst>
            <a:innerShdw blurRad="114300">
              <a:prstClr val="black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AO" sz="1200" b="1" baseline="0">
                <a:solidFill>
                  <a:schemeClr val="bg1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Sector Líder no PIB</a:t>
            </a:r>
          </a:p>
        </xdr:txBody>
      </xdr:sp>
      <xdr:sp macro="" textlink="'KPIs &amp; Análises'!B9">
        <xdr:nvSpPr>
          <xdr:cNvPr id="59" name="CaixaDeTexto 58">
            <a:extLst>
              <a:ext uri="{FF2B5EF4-FFF2-40B4-BE49-F238E27FC236}">
                <a16:creationId xmlns:a16="http://schemas.microsoft.com/office/drawing/2014/main" id="{1C60FB6A-F006-4E4B-9E2B-4E44894A11F4}"/>
              </a:ext>
            </a:extLst>
          </xdr:cNvPr>
          <xdr:cNvSpPr txBox="1"/>
        </xdr:nvSpPr>
        <xdr:spPr>
          <a:xfrm>
            <a:off x="13464259" y="1434053"/>
            <a:ext cx="2067928" cy="40105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8E58A4-BE5E-41A3-A170-24F4EE66CEBE}" type="TxLink">
              <a:rPr lang="en-US" sz="2000" b="0" i="0" u="none" strike="noStrike">
                <a:solidFill>
                  <a:schemeClr val="bg1"/>
                </a:solidFill>
                <a:latin typeface="Arial Black" panose="020B0A04020102020204" pitchFamily="34" charset="0"/>
                <a:ea typeface="Calibri"/>
                <a:cs typeface="Calibri"/>
              </a:rPr>
              <a:pPr/>
              <a:t>Servíços</a:t>
            </a:fld>
            <a:endParaRPr lang="pt-BR" sz="6600">
              <a:solidFill>
                <a:schemeClr val="bg1"/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45" name="CaixaDeTexto 44">
            <a:extLst>
              <a:ext uri="{FF2B5EF4-FFF2-40B4-BE49-F238E27FC236}">
                <a16:creationId xmlns:a16="http://schemas.microsoft.com/office/drawing/2014/main" id="{2674B60D-1F9F-4607-90CE-BFE1CAA8824B}"/>
              </a:ext>
            </a:extLst>
          </xdr:cNvPr>
          <xdr:cNvSpPr txBox="1"/>
        </xdr:nvSpPr>
        <xdr:spPr>
          <a:xfrm>
            <a:off x="13447796" y="1829805"/>
            <a:ext cx="2531646" cy="33838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100" b="1">
                <a:solidFill>
                  <a:schemeClr val="bg2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46,5% do PIB nacional em 2025</a:t>
            </a:r>
          </a:p>
        </xdr:txBody>
      </xdr:sp>
    </xdr:grpSp>
    <xdr:clientData/>
  </xdr:twoCellAnchor>
  <xdr:twoCellAnchor>
    <xdr:from>
      <xdr:col>56</xdr:col>
      <xdr:colOff>170563</xdr:colOff>
      <xdr:row>0</xdr:row>
      <xdr:rowOff>132516</xdr:rowOff>
    </xdr:from>
    <xdr:to>
      <xdr:col>78</xdr:col>
      <xdr:colOff>3553</xdr:colOff>
      <xdr:row>3</xdr:row>
      <xdr:rowOff>162928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8FC23682-7F53-4743-8AF4-EEC9D46B4B18}"/>
            </a:ext>
          </a:extLst>
        </xdr:cNvPr>
        <xdr:cNvGrpSpPr/>
      </xdr:nvGrpSpPr>
      <xdr:grpSpPr>
        <a:xfrm>
          <a:off x="12101879" y="132516"/>
          <a:ext cx="4520292" cy="594392"/>
          <a:chOff x="10377237" y="132516"/>
          <a:chExt cx="5516478" cy="594392"/>
        </a:xfrm>
      </xdr:grpSpPr>
      <xdr:sp macro="" textlink="">
        <xdr:nvSpPr>
          <xdr:cNvPr id="62" name="Retângulo: Cantos Arredondados 61">
            <a:extLst>
              <a:ext uri="{FF2B5EF4-FFF2-40B4-BE49-F238E27FC236}">
                <a16:creationId xmlns:a16="http://schemas.microsoft.com/office/drawing/2014/main" id="{C85CCA66-BE2A-4F28-88B9-44990F9AC894}"/>
              </a:ext>
            </a:extLst>
          </xdr:cNvPr>
          <xdr:cNvSpPr/>
        </xdr:nvSpPr>
        <xdr:spPr>
          <a:xfrm>
            <a:off x="10377237" y="132516"/>
            <a:ext cx="2657704" cy="594392"/>
          </a:xfrm>
          <a:prstGeom prst="roundRect">
            <a:avLst>
              <a:gd name="adj" fmla="val 28096"/>
            </a:avLst>
          </a:prstGeom>
          <a:solidFill>
            <a:srgbClr val="1F2023"/>
          </a:solidFill>
          <a:ln>
            <a:solidFill>
              <a:schemeClr val="bg2">
                <a:lumMod val="2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AO" sz="1050" b="1">
                <a:solidFill>
                  <a:schemeClr val="bg2">
                    <a:lumMod val="50000"/>
                  </a:schemeClr>
                </a:solidFill>
                <a:latin typeface="Arial Black" panose="020B0A04020102020204" pitchFamily="34" charset="0"/>
                <a:cs typeface="Arial" panose="020B0604020202020204" pitchFamily="34" charset="0"/>
              </a:rPr>
              <a:t>CENÁRIO</a:t>
            </a:r>
            <a:r>
              <a:rPr lang="pt-AO" sz="1050" b="1" baseline="0">
                <a:solidFill>
                  <a:schemeClr val="bg2">
                    <a:lumMod val="50000"/>
                  </a:schemeClr>
                </a:solidFill>
                <a:latin typeface="Arial Black" panose="020B0A04020102020204" pitchFamily="34" charset="0"/>
                <a:cs typeface="Arial" panose="020B0604020202020204" pitchFamily="34" charset="0"/>
              </a:rPr>
              <a:t> ANUAL</a:t>
            </a:r>
            <a:endParaRPr lang="pt-AO" sz="1050" b="1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cs typeface="Arial" panose="020B0604020202020204" pitchFamily="34" charset="0"/>
            </a:endParaRPr>
          </a:p>
          <a:p>
            <a:pPr algn="ctr"/>
            <a:r>
              <a:rPr lang="pt-BR" sz="1050" b="1">
                <a:solidFill>
                  <a:schemeClr val="bg1"/>
                </a:solidFill>
                <a:latin typeface="Arial Black" panose="020B0A04020102020204" pitchFamily="34" charset="0"/>
                <a:cs typeface="Arial" panose="020B0604020202020204" pitchFamily="34" charset="0"/>
              </a:rPr>
              <a:t>2025</a:t>
            </a:r>
          </a:p>
        </xdr:txBody>
      </xdr:sp>
      <xdr:sp macro="" textlink="">
        <xdr:nvSpPr>
          <xdr:cNvPr id="47" name="Retângulo: Cantos Arredondados 46">
            <a:extLst>
              <a:ext uri="{FF2B5EF4-FFF2-40B4-BE49-F238E27FC236}">
                <a16:creationId xmlns:a16="http://schemas.microsoft.com/office/drawing/2014/main" id="{E5D22134-3BDF-49C3-A41D-FA8FB94BFB43}"/>
              </a:ext>
            </a:extLst>
          </xdr:cNvPr>
          <xdr:cNvSpPr/>
        </xdr:nvSpPr>
        <xdr:spPr>
          <a:xfrm>
            <a:off x="13234736" y="132557"/>
            <a:ext cx="2658979" cy="594311"/>
          </a:xfrm>
          <a:prstGeom prst="roundRect">
            <a:avLst>
              <a:gd name="adj" fmla="val 28096"/>
            </a:avLst>
          </a:prstGeom>
          <a:solidFill>
            <a:srgbClr val="1F2023"/>
          </a:solidFill>
          <a:ln>
            <a:solidFill>
              <a:schemeClr val="bg2">
                <a:lumMod val="2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AO" sz="1050" b="1">
                <a:solidFill>
                  <a:schemeClr val="bg2">
                    <a:lumMod val="50000"/>
                  </a:schemeClr>
                </a:solidFill>
                <a:latin typeface="Arial Black" panose="020B0A04020102020204" pitchFamily="34" charset="0"/>
                <a:cs typeface="Arial" panose="020B0604020202020204" pitchFamily="34" charset="0"/>
              </a:rPr>
              <a:t>EVOLUÇÃO</a:t>
            </a:r>
            <a:r>
              <a:rPr lang="pt-AO" sz="1050" b="1" baseline="0">
                <a:solidFill>
                  <a:schemeClr val="bg2">
                    <a:lumMod val="50000"/>
                  </a:schemeClr>
                </a:solidFill>
                <a:latin typeface="Arial Black" panose="020B0A04020102020204" pitchFamily="34" charset="0"/>
                <a:cs typeface="Arial" panose="020B0604020202020204" pitchFamily="34" charset="0"/>
              </a:rPr>
              <a:t> ECONÔMICA</a:t>
            </a:r>
            <a:endParaRPr lang="pt-AO" sz="1050" b="1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cs typeface="Arial" panose="020B0604020202020204" pitchFamily="34" charset="0"/>
            </a:endParaRPr>
          </a:p>
          <a:p>
            <a:pPr algn="ctr"/>
            <a:r>
              <a:rPr lang="pt-AO" sz="1050" b="1">
                <a:solidFill>
                  <a:schemeClr val="bg1"/>
                </a:solidFill>
                <a:latin typeface="Arial Black" panose="020B0A04020102020204" pitchFamily="34" charset="0"/>
                <a:cs typeface="Arial" panose="020B0604020202020204" pitchFamily="34" charset="0"/>
              </a:rPr>
              <a:t>2020-</a:t>
            </a:r>
            <a:r>
              <a:rPr lang="pt-BR" sz="1050" b="1">
                <a:solidFill>
                  <a:schemeClr val="bg1"/>
                </a:solidFill>
                <a:latin typeface="Arial Black" panose="020B0A04020102020204" pitchFamily="34" charset="0"/>
                <a:cs typeface="Arial" panose="020B0604020202020204" pitchFamily="34" charset="0"/>
              </a:rPr>
              <a:t>2025</a:t>
            </a:r>
          </a:p>
        </xdr:txBody>
      </xdr:sp>
    </xdr:grpSp>
    <xdr:clientData/>
  </xdr:twoCellAnchor>
  <xdr:twoCellAnchor>
    <xdr:from>
      <xdr:col>9</xdr:col>
      <xdr:colOff>131817</xdr:colOff>
      <xdr:row>28</xdr:row>
      <xdr:rowOff>63329</xdr:rowOff>
    </xdr:from>
    <xdr:to>
      <xdr:col>59</xdr:col>
      <xdr:colOff>21487</xdr:colOff>
      <xdr:row>39</xdr:row>
      <xdr:rowOff>162264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E0F04794-0904-4333-B58D-0EF5D83ED56D}"/>
            </a:ext>
          </a:extLst>
        </xdr:cNvPr>
        <xdr:cNvGrpSpPr/>
      </xdr:nvGrpSpPr>
      <xdr:grpSpPr>
        <a:xfrm>
          <a:off x="2049350" y="5327145"/>
          <a:ext cx="10542630" cy="2166862"/>
          <a:chOff x="2096982" y="5352875"/>
          <a:chExt cx="10142926" cy="2166862"/>
        </a:xfrm>
      </xdr:grpSpPr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72C35DB3-2A46-48BD-8F9F-F04EBCBE9FF1}"/>
              </a:ext>
            </a:extLst>
          </xdr:cNvPr>
          <xdr:cNvSpPr/>
        </xdr:nvSpPr>
        <xdr:spPr>
          <a:xfrm>
            <a:off x="2096982" y="5352875"/>
            <a:ext cx="10142926" cy="2166862"/>
          </a:xfrm>
          <a:prstGeom prst="roundRect">
            <a:avLst>
              <a:gd name="adj" fmla="val 4291"/>
            </a:avLst>
          </a:prstGeom>
          <a:solidFill>
            <a:srgbClr val="18191C"/>
          </a:solidFill>
          <a:ln w="9525">
            <a:solidFill>
              <a:schemeClr val="bg2">
                <a:lumMod val="25000"/>
              </a:schemeClr>
            </a:solidFill>
          </a:ln>
          <a:effectLst>
            <a:innerShdw blurRad="114300">
              <a:prstClr val="black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AO" sz="1200" b="1" baseline="0">
                <a:solidFill>
                  <a:schemeClr val="bg1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Concentração Económica por Província (Curva de Pareto)</a:t>
            </a:r>
          </a:p>
        </xdr:txBody>
      </xdr:sp>
      <xdr:graphicFrame macro="">
        <xdr:nvGraphicFramePr>
          <xdr:cNvPr id="67" name="Gráfico 66">
            <a:extLst>
              <a:ext uri="{FF2B5EF4-FFF2-40B4-BE49-F238E27FC236}">
                <a16:creationId xmlns:a16="http://schemas.microsoft.com/office/drawing/2014/main" id="{14729950-C9F8-410A-866A-565787D07BAE}"/>
              </a:ext>
            </a:extLst>
          </xdr:cNvPr>
          <xdr:cNvGraphicFramePr>
            <a:graphicFrameLocks/>
          </xdr:cNvGraphicFramePr>
        </xdr:nvGraphicFramePr>
        <xdr:xfrm>
          <a:off x="2172179" y="5639802"/>
          <a:ext cx="10022328" cy="182837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60</xdr:col>
      <xdr:colOff>60852</xdr:colOff>
      <xdr:row>28</xdr:row>
      <xdr:rowOff>63160</xdr:rowOff>
    </xdr:from>
    <xdr:to>
      <xdr:col>78</xdr:col>
      <xdr:colOff>68687</xdr:colOff>
      <xdr:row>39</xdr:row>
      <xdr:rowOff>162433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DC0F432C-41A4-4898-83A0-F16529E8C724}"/>
            </a:ext>
          </a:extLst>
        </xdr:cNvPr>
        <xdr:cNvGrpSpPr/>
      </xdr:nvGrpSpPr>
      <xdr:grpSpPr>
        <a:xfrm>
          <a:off x="12844405" y="5326976"/>
          <a:ext cx="3842900" cy="2167200"/>
          <a:chOff x="12357434" y="5288882"/>
          <a:chExt cx="3697204" cy="2167200"/>
        </a:xfrm>
      </xdr:grpSpPr>
      <xdr:sp macro="" textlink="">
        <xdr:nvSpPr>
          <xdr:cNvPr id="19" name="Retângulo: Cantos Arredondados 18">
            <a:extLst>
              <a:ext uri="{FF2B5EF4-FFF2-40B4-BE49-F238E27FC236}">
                <a16:creationId xmlns:a16="http://schemas.microsoft.com/office/drawing/2014/main" id="{68244FDF-E642-4A6E-AB36-689F968790AD}"/>
              </a:ext>
            </a:extLst>
          </xdr:cNvPr>
          <xdr:cNvSpPr/>
        </xdr:nvSpPr>
        <xdr:spPr>
          <a:xfrm>
            <a:off x="12357434" y="5288882"/>
            <a:ext cx="3697204" cy="2167200"/>
          </a:xfrm>
          <a:prstGeom prst="roundRect">
            <a:avLst>
              <a:gd name="adj" fmla="val 4291"/>
            </a:avLst>
          </a:prstGeom>
          <a:solidFill>
            <a:srgbClr val="18191C"/>
          </a:solidFill>
          <a:ln w="9525">
            <a:solidFill>
              <a:schemeClr val="bg2">
                <a:lumMod val="25000"/>
              </a:schemeClr>
            </a:solidFill>
          </a:ln>
          <a:effectLst>
            <a:innerShdw blurRad="114300">
              <a:prstClr val="black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AO" sz="1200" b="1" baseline="0">
                <a:solidFill>
                  <a:schemeClr val="bg1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Concentração do PIB por Posição Geográfica</a:t>
            </a:r>
          </a:p>
        </xdr:txBody>
      </xdr:sp>
      <xdr:graphicFrame macro="">
        <xdr:nvGraphicFramePr>
          <xdr:cNvPr id="68" name="Gráfico 67">
            <a:extLst>
              <a:ext uri="{FF2B5EF4-FFF2-40B4-BE49-F238E27FC236}">
                <a16:creationId xmlns:a16="http://schemas.microsoft.com/office/drawing/2014/main" id="{2A058CCD-C19F-4301-B3B4-E0A6ADD521DD}"/>
              </a:ext>
            </a:extLst>
          </xdr:cNvPr>
          <xdr:cNvGraphicFramePr>
            <a:graphicFrameLocks/>
          </xdr:cNvGraphicFramePr>
        </xdr:nvGraphicFramePr>
        <xdr:xfrm>
          <a:off x="12407567" y="5664868"/>
          <a:ext cx="3617996" cy="175460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106589</xdr:colOff>
      <xdr:row>42</xdr:row>
      <xdr:rowOff>36256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F5DC8A6C-0441-4693-8EFC-FA876C247A75}"/>
            </a:ext>
          </a:extLst>
        </xdr:cNvPr>
        <xdr:cNvGrpSpPr/>
      </xdr:nvGrpSpPr>
      <xdr:grpSpPr>
        <a:xfrm>
          <a:off x="0" y="0"/>
          <a:ext cx="1811063" cy="7931980"/>
          <a:chOff x="0" y="0"/>
          <a:chExt cx="1742400" cy="7931980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D1ED1D08-267C-49DC-B215-0C4FFE2B20BD}"/>
              </a:ext>
            </a:extLst>
          </xdr:cNvPr>
          <xdr:cNvGrpSpPr/>
        </xdr:nvGrpSpPr>
        <xdr:grpSpPr>
          <a:xfrm>
            <a:off x="0" y="0"/>
            <a:ext cx="1742072" cy="7931980"/>
            <a:chOff x="50132" y="0"/>
            <a:chExt cx="1742072" cy="7931980"/>
          </a:xfrm>
        </xdr:grpSpPr>
        <xdr:sp macro="" textlink="">
          <xdr:nvSpPr>
            <xdr:cNvPr id="30" name="Retângulo 29">
              <a:extLst>
                <a:ext uri="{FF2B5EF4-FFF2-40B4-BE49-F238E27FC236}">
                  <a16:creationId xmlns:a16="http://schemas.microsoft.com/office/drawing/2014/main" id="{07608FBC-6C50-4C83-A37E-1F56F452412A}"/>
                </a:ext>
              </a:extLst>
            </xdr:cNvPr>
            <xdr:cNvSpPr/>
          </xdr:nvSpPr>
          <xdr:spPr>
            <a:xfrm>
              <a:off x="50132" y="0"/>
              <a:ext cx="1742072" cy="7931980"/>
            </a:xfrm>
            <a:prstGeom prst="rect">
              <a:avLst/>
            </a:prstGeom>
            <a:solidFill>
              <a:srgbClr val="0A0A0B"/>
            </a:solidFill>
            <a:ln>
              <a:noFill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pSp>
          <xdr:nvGrpSpPr>
            <xdr:cNvPr id="7" name="Agrupar 6">
              <a:extLst>
                <a:ext uri="{FF2B5EF4-FFF2-40B4-BE49-F238E27FC236}">
                  <a16:creationId xmlns:a16="http://schemas.microsoft.com/office/drawing/2014/main" id="{24E9391B-7FE6-4A81-8999-175E4A04C18E}"/>
                </a:ext>
              </a:extLst>
            </xdr:cNvPr>
            <xdr:cNvGrpSpPr/>
          </xdr:nvGrpSpPr>
          <xdr:grpSpPr>
            <a:xfrm>
              <a:off x="175460" y="2881894"/>
              <a:ext cx="1595689" cy="2168192"/>
              <a:chOff x="75197" y="3722270"/>
              <a:chExt cx="1595689" cy="2168192"/>
            </a:xfrm>
            <a:effectLst>
              <a:outerShdw blurRad="76200" dist="12700" dir="2700000" sy="-23000" kx="-800400" algn="bl" rotWithShape="0">
                <a:prstClr val="black">
                  <a:alpha val="20000"/>
                </a:prstClr>
              </a:outerShdw>
            </a:effectLst>
          </xdr:grpSpPr>
          <xdr:grpSp>
            <xdr:nvGrpSpPr>
              <xdr:cNvPr id="54" name="Agrupar 53">
                <a:extLst>
                  <a:ext uri="{FF2B5EF4-FFF2-40B4-BE49-F238E27FC236}">
                    <a16:creationId xmlns:a16="http://schemas.microsoft.com/office/drawing/2014/main" id="{35BC835C-63B9-4955-A81E-CB4AE2F9ECEE}"/>
                  </a:ext>
                </a:extLst>
              </xdr:cNvPr>
              <xdr:cNvGrpSpPr/>
            </xdr:nvGrpSpPr>
            <xdr:grpSpPr>
              <a:xfrm>
                <a:off x="87730" y="3722270"/>
                <a:ext cx="1570623" cy="451185"/>
                <a:chOff x="4692316" y="3438525"/>
                <a:chExt cx="1570623" cy="361733"/>
              </a:xfrm>
            </xdr:grpSpPr>
            <xdr:sp macro="" textlink="">
              <xdr:nvSpPr>
                <xdr:cNvPr id="55" name="Retângulo: Cantos Arredondados 54">
                  <a:extLst>
                    <a:ext uri="{FF2B5EF4-FFF2-40B4-BE49-F238E27FC236}">
                      <a16:creationId xmlns:a16="http://schemas.microsoft.com/office/drawing/2014/main" id="{5984B676-87D2-482D-B1E0-4A811D55617C}"/>
                    </a:ext>
                  </a:extLst>
                </xdr:cNvPr>
                <xdr:cNvSpPr/>
              </xdr:nvSpPr>
              <xdr:spPr>
                <a:xfrm>
                  <a:off x="4692316" y="3438525"/>
                  <a:ext cx="304800" cy="361733"/>
                </a:xfrm>
                <a:prstGeom prst="roundRect">
                  <a:avLst>
                    <a:gd name="adj" fmla="val 19444"/>
                  </a:avLst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/>
                </a:p>
              </xdr:txBody>
            </xdr:sp>
            <xdr:sp macro="" textlink="">
              <xdr:nvSpPr>
                <xdr:cNvPr id="57" name="Retângulo: Cantos Arredondados 56">
                  <a:extLst>
                    <a:ext uri="{FF2B5EF4-FFF2-40B4-BE49-F238E27FC236}">
                      <a16:creationId xmlns:a16="http://schemas.microsoft.com/office/drawing/2014/main" id="{C25831E9-AFA7-472A-AA05-D1EE89ECB035}"/>
                    </a:ext>
                  </a:extLst>
                </xdr:cNvPr>
                <xdr:cNvSpPr/>
              </xdr:nvSpPr>
              <xdr:spPr>
                <a:xfrm>
                  <a:off x="4746458" y="3438525"/>
                  <a:ext cx="1516481" cy="350922"/>
                </a:xfrm>
                <a:prstGeom prst="roundRect">
                  <a:avLst>
                    <a:gd name="adj" fmla="val 6667"/>
                  </a:avLst>
                </a:prstGeom>
                <a:solidFill>
                  <a:srgbClr val="1F2023"/>
                </a:solidFill>
                <a:ln>
                  <a:solidFill>
                    <a:schemeClr val="bg2">
                      <a:lumMod val="25000"/>
                    </a:schemeClr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pt-AO" sz="1050" b="1" baseline="0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Visão Geal</a:t>
                  </a:r>
                  <a:endParaRPr lang="pt-BR" sz="105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  <xdr:grpSp>
            <xdr:nvGrpSpPr>
              <xdr:cNvPr id="64" name="Agrupar 63">
                <a:extLst>
                  <a:ext uri="{FF2B5EF4-FFF2-40B4-BE49-F238E27FC236}">
                    <a16:creationId xmlns:a16="http://schemas.microsoft.com/office/drawing/2014/main" id="{BE4EF659-444A-444C-A0C2-5E5952E101E8}"/>
                  </a:ext>
                </a:extLst>
              </xdr:cNvPr>
              <xdr:cNvGrpSpPr/>
            </xdr:nvGrpSpPr>
            <xdr:grpSpPr>
              <a:xfrm>
                <a:off x="87730" y="4294606"/>
                <a:ext cx="1570623" cy="451185"/>
                <a:chOff x="4692316" y="3438525"/>
                <a:chExt cx="1570623" cy="361733"/>
              </a:xfrm>
            </xdr:grpSpPr>
            <xdr:sp macro="" textlink="">
              <xdr:nvSpPr>
                <xdr:cNvPr id="65" name="Retângulo: Cantos Arredondados 64">
                  <a:extLst>
                    <a:ext uri="{FF2B5EF4-FFF2-40B4-BE49-F238E27FC236}">
                      <a16:creationId xmlns:a16="http://schemas.microsoft.com/office/drawing/2014/main" id="{41E379E0-74DD-495E-9D6D-AE85D0865485}"/>
                    </a:ext>
                  </a:extLst>
                </xdr:cNvPr>
                <xdr:cNvSpPr/>
              </xdr:nvSpPr>
              <xdr:spPr>
                <a:xfrm>
                  <a:off x="4692316" y="3438525"/>
                  <a:ext cx="304800" cy="361733"/>
                </a:xfrm>
                <a:prstGeom prst="roundRect">
                  <a:avLst>
                    <a:gd name="adj" fmla="val 19444"/>
                  </a:avLst>
                </a:prstGeom>
                <a:solidFill>
                  <a:srgbClr val="FFCB00">
                    <a:alpha val="69804"/>
                  </a:srgb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/>
                </a:p>
              </xdr:txBody>
            </xdr:sp>
            <xdr:sp macro="" textlink="">
              <xdr:nvSpPr>
                <xdr:cNvPr id="66" name="Retângulo: Cantos Arredondados 65">
                  <a:hlinkClick xmlns:r="http://schemas.openxmlformats.org/officeDocument/2006/relationships" r:id="rId5"/>
                  <a:extLst>
                    <a:ext uri="{FF2B5EF4-FFF2-40B4-BE49-F238E27FC236}">
                      <a16:creationId xmlns:a16="http://schemas.microsoft.com/office/drawing/2014/main" id="{CE4F156D-89BB-4836-A757-D0F19274DBD9}"/>
                    </a:ext>
                  </a:extLst>
                </xdr:cNvPr>
                <xdr:cNvSpPr/>
              </xdr:nvSpPr>
              <xdr:spPr>
                <a:xfrm>
                  <a:off x="4746458" y="3438525"/>
                  <a:ext cx="1516481" cy="350922"/>
                </a:xfrm>
                <a:prstGeom prst="roundRect">
                  <a:avLst>
                    <a:gd name="adj" fmla="val 6667"/>
                  </a:avLst>
                </a:prstGeom>
                <a:solidFill>
                  <a:srgbClr val="1F2023"/>
                </a:solidFill>
                <a:ln>
                  <a:solidFill>
                    <a:schemeClr val="bg2">
                      <a:lumMod val="25000"/>
                    </a:schemeClr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pt-AO" sz="105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Evolução</a:t>
                  </a:r>
                  <a:r>
                    <a:rPr lang="pt-AO" sz="1050" b="1" baseline="0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 Econômica</a:t>
                  </a:r>
                  <a:endParaRPr lang="pt-BR" sz="105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  <xdr:grpSp>
            <xdr:nvGrpSpPr>
              <xdr:cNvPr id="84" name="Agrupar 83">
                <a:extLst>
                  <a:ext uri="{FF2B5EF4-FFF2-40B4-BE49-F238E27FC236}">
                    <a16:creationId xmlns:a16="http://schemas.microsoft.com/office/drawing/2014/main" id="{7AEAA717-BD90-4A84-9645-247FF4ADF101}"/>
                  </a:ext>
                </a:extLst>
              </xdr:cNvPr>
              <xdr:cNvGrpSpPr/>
            </xdr:nvGrpSpPr>
            <xdr:grpSpPr>
              <a:xfrm>
                <a:off x="100263" y="4866942"/>
                <a:ext cx="1570623" cy="451185"/>
                <a:chOff x="4692316" y="3438525"/>
                <a:chExt cx="1570623" cy="361733"/>
              </a:xfrm>
            </xdr:grpSpPr>
            <xdr:sp macro="" textlink="">
              <xdr:nvSpPr>
                <xdr:cNvPr id="85" name="Retângulo: Cantos Arredondados 84">
                  <a:extLst>
                    <a:ext uri="{FF2B5EF4-FFF2-40B4-BE49-F238E27FC236}">
                      <a16:creationId xmlns:a16="http://schemas.microsoft.com/office/drawing/2014/main" id="{963A6D79-1AAA-4AD3-94A2-B940912E9226}"/>
                    </a:ext>
                  </a:extLst>
                </xdr:cNvPr>
                <xdr:cNvSpPr/>
              </xdr:nvSpPr>
              <xdr:spPr>
                <a:xfrm>
                  <a:off x="4692316" y="3438525"/>
                  <a:ext cx="304800" cy="361733"/>
                </a:xfrm>
                <a:prstGeom prst="roundRect">
                  <a:avLst>
                    <a:gd name="adj" fmla="val 19444"/>
                  </a:avLst>
                </a:prstGeom>
                <a:solidFill>
                  <a:srgbClr val="FFCB00">
                    <a:alpha val="69804"/>
                  </a:srgb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/>
                </a:p>
              </xdr:txBody>
            </xdr:sp>
            <xdr:sp macro="" textlink="">
              <xdr:nvSpPr>
                <xdr:cNvPr id="86" name="Retângulo: Cantos Arredondados 85">
                  <a:hlinkClick xmlns:r="http://schemas.openxmlformats.org/officeDocument/2006/relationships" r:id="rId6"/>
                  <a:extLst>
                    <a:ext uri="{FF2B5EF4-FFF2-40B4-BE49-F238E27FC236}">
                      <a16:creationId xmlns:a16="http://schemas.microsoft.com/office/drawing/2014/main" id="{CBB8A7B5-767C-4395-9D70-8ACEF814F553}"/>
                    </a:ext>
                  </a:extLst>
                </xdr:cNvPr>
                <xdr:cNvSpPr/>
              </xdr:nvSpPr>
              <xdr:spPr>
                <a:xfrm>
                  <a:off x="4746458" y="3438525"/>
                  <a:ext cx="1516481" cy="350922"/>
                </a:xfrm>
                <a:prstGeom prst="roundRect">
                  <a:avLst>
                    <a:gd name="adj" fmla="val 6667"/>
                  </a:avLst>
                </a:prstGeom>
                <a:solidFill>
                  <a:srgbClr val="1F2023"/>
                </a:solidFill>
                <a:ln>
                  <a:solidFill>
                    <a:schemeClr val="bg2">
                      <a:lumMod val="25000"/>
                    </a:schemeClr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pt-AO" sz="105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Preço</a:t>
                  </a:r>
                  <a:r>
                    <a:rPr lang="pt-AO" sz="1050" b="1" baseline="0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 vs Volume</a:t>
                  </a:r>
                  <a:endParaRPr lang="pt-BR" sz="105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  <xdr:grpSp>
            <xdr:nvGrpSpPr>
              <xdr:cNvPr id="87" name="Agrupar 86">
                <a:extLst>
                  <a:ext uri="{FF2B5EF4-FFF2-40B4-BE49-F238E27FC236}">
                    <a16:creationId xmlns:a16="http://schemas.microsoft.com/office/drawing/2014/main" id="{AF048A35-6FEF-434D-A8A6-09A8BF0BE6E6}"/>
                  </a:ext>
                </a:extLst>
              </xdr:cNvPr>
              <xdr:cNvGrpSpPr/>
            </xdr:nvGrpSpPr>
            <xdr:grpSpPr>
              <a:xfrm>
                <a:off x="75197" y="5439277"/>
                <a:ext cx="1570623" cy="451185"/>
                <a:chOff x="4692316" y="3438525"/>
                <a:chExt cx="1570623" cy="361733"/>
              </a:xfrm>
            </xdr:grpSpPr>
            <xdr:sp macro="" textlink="">
              <xdr:nvSpPr>
                <xdr:cNvPr id="88" name="Retângulo: Cantos Arredondados 87">
                  <a:extLst>
                    <a:ext uri="{FF2B5EF4-FFF2-40B4-BE49-F238E27FC236}">
                      <a16:creationId xmlns:a16="http://schemas.microsoft.com/office/drawing/2014/main" id="{C8F0DFBA-826C-44B0-8F2C-4F18E8B50C16}"/>
                    </a:ext>
                  </a:extLst>
                </xdr:cNvPr>
                <xdr:cNvSpPr/>
              </xdr:nvSpPr>
              <xdr:spPr>
                <a:xfrm>
                  <a:off x="4692316" y="3438525"/>
                  <a:ext cx="304800" cy="361733"/>
                </a:xfrm>
                <a:prstGeom prst="roundRect">
                  <a:avLst>
                    <a:gd name="adj" fmla="val 19444"/>
                  </a:avLst>
                </a:prstGeom>
                <a:solidFill>
                  <a:srgbClr val="FFCB00">
                    <a:alpha val="69804"/>
                  </a:srgb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/>
                </a:p>
              </xdr:txBody>
            </xdr:sp>
            <xdr:sp macro="" textlink="">
              <xdr:nvSpPr>
                <xdr:cNvPr id="89" name="Retângulo: Cantos Arredondados 88">
                  <a:hlinkClick xmlns:r="http://schemas.openxmlformats.org/officeDocument/2006/relationships" r:id="rId7"/>
                  <a:extLst>
                    <a:ext uri="{FF2B5EF4-FFF2-40B4-BE49-F238E27FC236}">
                      <a16:creationId xmlns:a16="http://schemas.microsoft.com/office/drawing/2014/main" id="{4917019C-FADF-4FAC-A350-F5F04A5ACE80}"/>
                    </a:ext>
                  </a:extLst>
                </xdr:cNvPr>
                <xdr:cNvSpPr/>
              </xdr:nvSpPr>
              <xdr:spPr>
                <a:xfrm>
                  <a:off x="4746458" y="3438525"/>
                  <a:ext cx="1516481" cy="350922"/>
                </a:xfrm>
                <a:prstGeom prst="roundRect">
                  <a:avLst>
                    <a:gd name="adj" fmla="val 6667"/>
                  </a:avLst>
                </a:prstGeom>
                <a:solidFill>
                  <a:srgbClr val="1F2023"/>
                </a:solidFill>
                <a:ln>
                  <a:solidFill>
                    <a:schemeClr val="bg2">
                      <a:lumMod val="25000"/>
                    </a:schemeClr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pt-AO" sz="105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Estrutura</a:t>
                  </a:r>
                  <a:r>
                    <a:rPr lang="pt-AO" sz="1050" b="1" baseline="0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 Setorial</a:t>
                  </a:r>
                  <a:endParaRPr lang="pt-BR" sz="105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</xdr:grpSp>
      </xdr:grpSp>
      <xdr:pic>
        <xdr:nvPicPr>
          <xdr:cNvPr id="26" name="Imagem 25">
            <a:extLst>
              <a:ext uri="{FF2B5EF4-FFF2-40B4-BE49-F238E27FC236}">
                <a16:creationId xmlns:a16="http://schemas.microsoft.com/office/drawing/2014/main" id="{EEB3273D-1F37-44A4-9B03-A91F20A0C1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742400" cy="82914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</xdr:rowOff>
    </xdr:from>
    <xdr:to>
      <xdr:col>75</xdr:col>
      <xdr:colOff>195385</xdr:colOff>
      <xdr:row>44</xdr:row>
      <xdr:rowOff>133584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A3816F7E-532E-405C-A824-8D06730F792A}"/>
            </a:ext>
          </a:extLst>
        </xdr:cNvPr>
        <xdr:cNvGrpSpPr/>
      </xdr:nvGrpSpPr>
      <xdr:grpSpPr>
        <a:xfrm>
          <a:off x="0" y="2"/>
          <a:ext cx="16268823" cy="8515582"/>
          <a:chOff x="0" y="2"/>
          <a:chExt cx="16729197" cy="8730505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FA182CBA-3132-4EB6-99C2-BD22E20F5EC1}"/>
              </a:ext>
            </a:extLst>
          </xdr:cNvPr>
          <xdr:cNvSpPr/>
        </xdr:nvSpPr>
        <xdr:spPr>
          <a:xfrm>
            <a:off x="0" y="36634"/>
            <a:ext cx="16717291" cy="8693873"/>
          </a:xfrm>
          <a:prstGeom prst="rect">
            <a:avLst/>
          </a:prstGeom>
          <a:solidFill>
            <a:srgbClr val="0A0A0B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0A0BB97A-3E14-4984-A26B-77A6845447DD}"/>
              </a:ext>
            </a:extLst>
          </xdr:cNvPr>
          <xdr:cNvSpPr/>
        </xdr:nvSpPr>
        <xdr:spPr>
          <a:xfrm>
            <a:off x="0" y="2"/>
            <a:ext cx="16729197" cy="872191"/>
          </a:xfrm>
          <a:prstGeom prst="rect">
            <a:avLst/>
          </a:prstGeom>
          <a:solidFill>
            <a:srgbClr val="120B0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lvl="4" algn="l"/>
            <a:r>
              <a:rPr lang="pt-BR" sz="2400">
                <a:latin typeface="Arial Black" panose="020B0A04020102020204" pitchFamily="34" charset="0"/>
              </a:rPr>
              <a:t>PIB por </a:t>
            </a:r>
            <a:r>
              <a:rPr lang="pt-BR" sz="2400">
                <a:solidFill>
                  <a:srgbClr val="C00000"/>
                </a:solidFill>
                <a:latin typeface="Arial Black" panose="020B0A04020102020204" pitchFamily="34" charset="0"/>
              </a:rPr>
              <a:t>Província</a:t>
            </a:r>
            <a:r>
              <a:rPr lang="pt-BR" sz="2400">
                <a:latin typeface="Arial Black" panose="020B0A04020102020204" pitchFamily="34" charset="0"/>
              </a:rPr>
              <a:t> — Painel de Análise Económica</a:t>
            </a:r>
            <a:endParaRPr lang="pt-AO" sz="2400">
              <a:latin typeface="Arial Black" panose="020B0A04020102020204" pitchFamily="34" charset="0"/>
            </a:endParaRPr>
          </a:p>
          <a:p>
            <a:pPr lvl="4" algn="l"/>
            <a:r>
              <a:rPr lang="pt-AO" sz="1200">
                <a:solidFill>
                  <a:srgbClr val="FFCB00"/>
                </a:solidFill>
                <a:latin typeface="Arial Black" panose="020B0A04020102020204" pitchFamily="34" charset="0"/>
              </a:rPr>
              <a:t>Valores</a:t>
            </a:r>
            <a:r>
              <a:rPr lang="pt-AO" sz="1200" baseline="0">
                <a:solidFill>
                  <a:srgbClr val="FFCB00"/>
                </a:solidFill>
                <a:latin typeface="Arial Black" panose="020B0A04020102020204" pitchFamily="34" charset="0"/>
              </a:rPr>
              <a:t> em mil milhões de Kwanzas</a:t>
            </a:r>
            <a:r>
              <a:rPr lang="pt-AO" sz="1200">
                <a:solidFill>
                  <a:srgbClr val="FFCB00"/>
                </a:solidFill>
                <a:latin typeface="Arial Black" panose="020B0A04020102020204" pitchFamily="34" charset="0"/>
              </a:rPr>
              <a:t>  </a:t>
            </a:r>
            <a:endParaRPr lang="pt-BR" sz="1200">
              <a:solidFill>
                <a:srgbClr val="FFCB00"/>
              </a:solidFill>
              <a:latin typeface="Arial Black" panose="020B0A04020102020204" pitchFamily="34" charset="0"/>
            </a:endParaRPr>
          </a:p>
          <a:p>
            <a:pPr algn="l"/>
            <a:endParaRPr lang="pt-BR" sz="1100"/>
          </a:p>
        </xdr:txBody>
      </xdr:sp>
    </xdr:grpSp>
    <xdr:clientData/>
  </xdr:twoCellAnchor>
  <xdr:twoCellAnchor>
    <xdr:from>
      <xdr:col>49</xdr:col>
      <xdr:colOff>114616</xdr:colOff>
      <xdr:row>7</xdr:row>
      <xdr:rowOff>132637</xdr:rowOff>
    </xdr:from>
    <xdr:to>
      <xdr:col>51</xdr:col>
      <xdr:colOff>100262</xdr:colOff>
      <xdr:row>9</xdr:row>
      <xdr:rowOff>157703</xdr:rowOff>
    </xdr:to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C7315351-F127-434C-9DB4-D2FDDACB0DEF}"/>
            </a:ext>
          </a:extLst>
        </xdr:cNvPr>
        <xdr:cNvSpPr txBox="1"/>
      </xdr:nvSpPr>
      <xdr:spPr>
        <a:xfrm>
          <a:off x="10849291" y="1466137"/>
          <a:ext cx="423796" cy="4060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AO" sz="2000" b="1" i="0" u="none" strike="noStrike">
              <a:solidFill>
                <a:schemeClr val="bg1"/>
              </a:solidFill>
              <a:latin typeface="Arial Black" panose="020B0A04020102020204" pitchFamily="34" charset="0"/>
              <a:ea typeface="Calibri"/>
              <a:cs typeface="Calibri"/>
            </a:rPr>
            <a:t>+</a:t>
          </a:r>
          <a:endParaRPr lang="en-US" sz="2000" b="1" i="0" u="none" strike="noStrike">
            <a:solidFill>
              <a:schemeClr val="bg1"/>
            </a:solidFill>
            <a:latin typeface="Arial Black" panose="020B0A04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54</xdr:col>
      <xdr:colOff>137862</xdr:colOff>
      <xdr:row>0</xdr:row>
      <xdr:rowOff>132516</xdr:rowOff>
    </xdr:from>
    <xdr:to>
      <xdr:col>75</xdr:col>
      <xdr:colOff>12532</xdr:colOff>
      <xdr:row>3</xdr:row>
      <xdr:rowOff>162928</xdr:rowOff>
    </xdr:to>
    <xdr:grpSp>
      <xdr:nvGrpSpPr>
        <xdr:cNvPr id="40" name="Agrupar 39">
          <a:extLst>
            <a:ext uri="{FF2B5EF4-FFF2-40B4-BE49-F238E27FC236}">
              <a16:creationId xmlns:a16="http://schemas.microsoft.com/office/drawing/2014/main" id="{C4D419CB-CF6E-40D5-A17F-B56C6CCFED3C}"/>
            </a:ext>
          </a:extLst>
        </xdr:cNvPr>
        <xdr:cNvGrpSpPr/>
      </xdr:nvGrpSpPr>
      <xdr:grpSpPr>
        <a:xfrm>
          <a:off x="11710737" y="132516"/>
          <a:ext cx="4375233" cy="601912"/>
          <a:chOff x="10377237" y="132516"/>
          <a:chExt cx="5516478" cy="594392"/>
        </a:xfrm>
      </xdr:grpSpPr>
      <xdr:sp macro="" textlink="">
        <xdr:nvSpPr>
          <xdr:cNvPr id="41" name="Retângulo: Cantos Arredondados 40">
            <a:extLst>
              <a:ext uri="{FF2B5EF4-FFF2-40B4-BE49-F238E27FC236}">
                <a16:creationId xmlns:a16="http://schemas.microsoft.com/office/drawing/2014/main" id="{9DD0F3F6-ECF6-4E16-B612-32D2966833F5}"/>
              </a:ext>
            </a:extLst>
          </xdr:cNvPr>
          <xdr:cNvSpPr/>
        </xdr:nvSpPr>
        <xdr:spPr>
          <a:xfrm>
            <a:off x="10377237" y="132516"/>
            <a:ext cx="2657704" cy="594392"/>
          </a:xfrm>
          <a:prstGeom prst="roundRect">
            <a:avLst>
              <a:gd name="adj" fmla="val 28096"/>
            </a:avLst>
          </a:prstGeom>
          <a:solidFill>
            <a:srgbClr val="1F2023"/>
          </a:solidFill>
          <a:ln>
            <a:solidFill>
              <a:schemeClr val="bg2">
                <a:lumMod val="2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AO" sz="1050" b="1">
                <a:solidFill>
                  <a:schemeClr val="bg2">
                    <a:lumMod val="50000"/>
                  </a:schemeClr>
                </a:solidFill>
                <a:latin typeface="Arial Black" panose="020B0A04020102020204" pitchFamily="34" charset="0"/>
                <a:cs typeface="Arial" panose="020B0604020202020204" pitchFamily="34" charset="0"/>
              </a:rPr>
              <a:t>CENÁRIO</a:t>
            </a:r>
            <a:r>
              <a:rPr lang="pt-AO" sz="1050" b="1" baseline="0">
                <a:solidFill>
                  <a:schemeClr val="bg2">
                    <a:lumMod val="50000"/>
                  </a:schemeClr>
                </a:solidFill>
                <a:latin typeface="Arial Black" panose="020B0A04020102020204" pitchFamily="34" charset="0"/>
                <a:cs typeface="Arial" panose="020B0604020202020204" pitchFamily="34" charset="0"/>
              </a:rPr>
              <a:t> ANUAL</a:t>
            </a:r>
            <a:endParaRPr lang="pt-AO" sz="1050" b="1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cs typeface="Arial" panose="020B0604020202020204" pitchFamily="34" charset="0"/>
            </a:endParaRPr>
          </a:p>
          <a:p>
            <a:pPr algn="ctr"/>
            <a:r>
              <a:rPr lang="pt-BR" sz="1050" b="1">
                <a:solidFill>
                  <a:schemeClr val="bg1"/>
                </a:solidFill>
                <a:latin typeface="Arial Black" panose="020B0A04020102020204" pitchFamily="34" charset="0"/>
                <a:cs typeface="Arial" panose="020B0604020202020204" pitchFamily="34" charset="0"/>
              </a:rPr>
              <a:t>2025</a:t>
            </a:r>
          </a:p>
        </xdr:txBody>
      </xdr:sp>
      <xdr:sp macro="" textlink="">
        <xdr:nvSpPr>
          <xdr:cNvPr id="42" name="Retângulo: Cantos Arredondados 41">
            <a:extLst>
              <a:ext uri="{FF2B5EF4-FFF2-40B4-BE49-F238E27FC236}">
                <a16:creationId xmlns:a16="http://schemas.microsoft.com/office/drawing/2014/main" id="{348E69F4-7C16-47C1-BB60-1C138B508C01}"/>
              </a:ext>
            </a:extLst>
          </xdr:cNvPr>
          <xdr:cNvSpPr/>
        </xdr:nvSpPr>
        <xdr:spPr>
          <a:xfrm>
            <a:off x="13234736" y="132557"/>
            <a:ext cx="2658979" cy="594311"/>
          </a:xfrm>
          <a:prstGeom prst="roundRect">
            <a:avLst>
              <a:gd name="adj" fmla="val 28096"/>
            </a:avLst>
          </a:prstGeom>
          <a:solidFill>
            <a:srgbClr val="1F2023"/>
          </a:solidFill>
          <a:ln>
            <a:solidFill>
              <a:schemeClr val="bg2">
                <a:lumMod val="2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AO" sz="1050" b="1">
                <a:solidFill>
                  <a:schemeClr val="bg2">
                    <a:lumMod val="50000"/>
                  </a:schemeClr>
                </a:solidFill>
                <a:latin typeface="Arial Black" panose="020B0A04020102020204" pitchFamily="34" charset="0"/>
                <a:cs typeface="Arial" panose="020B0604020202020204" pitchFamily="34" charset="0"/>
              </a:rPr>
              <a:t>EVOLUÇÃO</a:t>
            </a:r>
            <a:r>
              <a:rPr lang="pt-AO" sz="1050" b="1" baseline="0">
                <a:solidFill>
                  <a:schemeClr val="bg2">
                    <a:lumMod val="50000"/>
                  </a:schemeClr>
                </a:solidFill>
                <a:latin typeface="Arial Black" panose="020B0A04020102020204" pitchFamily="34" charset="0"/>
                <a:cs typeface="Arial" panose="020B0604020202020204" pitchFamily="34" charset="0"/>
              </a:rPr>
              <a:t> ECONÔMICA</a:t>
            </a:r>
            <a:endParaRPr lang="pt-AO" sz="1050" b="1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cs typeface="Arial" panose="020B0604020202020204" pitchFamily="34" charset="0"/>
            </a:endParaRPr>
          </a:p>
          <a:p>
            <a:pPr algn="ctr"/>
            <a:r>
              <a:rPr lang="pt-AO" sz="1050" b="1">
                <a:solidFill>
                  <a:schemeClr val="bg1"/>
                </a:solidFill>
                <a:latin typeface="Arial Black" panose="020B0A04020102020204" pitchFamily="34" charset="0"/>
                <a:cs typeface="Arial" panose="020B0604020202020204" pitchFamily="34" charset="0"/>
              </a:rPr>
              <a:t>2020-</a:t>
            </a:r>
            <a:r>
              <a:rPr lang="pt-BR" sz="1050" b="1">
                <a:solidFill>
                  <a:schemeClr val="bg1"/>
                </a:solidFill>
                <a:latin typeface="Arial Black" panose="020B0A04020102020204" pitchFamily="34" charset="0"/>
                <a:cs typeface="Arial" panose="020B0604020202020204" pitchFamily="34" charset="0"/>
              </a:rPr>
              <a:t>2025</a:t>
            </a:r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38700</xdr:colOff>
      <xdr:row>42</xdr:row>
      <xdr:rowOff>36256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373FC30B-CC24-4A8D-B91B-95E069732910}"/>
            </a:ext>
          </a:extLst>
        </xdr:cNvPr>
        <xdr:cNvGrpSpPr/>
      </xdr:nvGrpSpPr>
      <xdr:grpSpPr>
        <a:xfrm>
          <a:off x="0" y="0"/>
          <a:ext cx="1753200" cy="8037256"/>
          <a:chOff x="0" y="0"/>
          <a:chExt cx="1753200" cy="8037256"/>
        </a:xfrm>
      </xdr:grpSpPr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DC4D8E80-86AF-4DE0-AA6F-1130FB7881FF}"/>
              </a:ext>
            </a:extLst>
          </xdr:cNvPr>
          <xdr:cNvSpPr/>
        </xdr:nvSpPr>
        <xdr:spPr>
          <a:xfrm>
            <a:off x="0" y="0"/>
            <a:ext cx="1752098" cy="8037256"/>
          </a:xfrm>
          <a:prstGeom prst="rect">
            <a:avLst/>
          </a:prstGeom>
          <a:solidFill>
            <a:srgbClr val="0A0A0B"/>
          </a:solidFill>
          <a:ln>
            <a:noFill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43" name="Imagem 42">
            <a:extLst>
              <a:ext uri="{FF2B5EF4-FFF2-40B4-BE49-F238E27FC236}">
                <a16:creationId xmlns:a16="http://schemas.microsoft.com/office/drawing/2014/main" id="{20106AA1-994B-404C-8908-CE1F210898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2666"/>
            <a:ext cx="1753200" cy="839323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75197</xdr:colOff>
      <xdr:row>15</xdr:row>
      <xdr:rowOff>61995</xdr:rowOff>
    </xdr:from>
    <xdr:to>
      <xdr:col>7</xdr:col>
      <xdr:colOff>179472</xdr:colOff>
      <xdr:row>26</xdr:row>
      <xdr:rowOff>164764</xdr:rowOff>
    </xdr:to>
    <xdr:grpSp>
      <xdr:nvGrpSpPr>
        <xdr:cNvPr id="44" name="Agrupar 43">
          <a:extLst>
            <a:ext uri="{FF2B5EF4-FFF2-40B4-BE49-F238E27FC236}">
              <a16:creationId xmlns:a16="http://schemas.microsoft.com/office/drawing/2014/main" id="{D3A09087-8F9F-490A-9DA2-E2A047D8BA4C}"/>
            </a:ext>
          </a:extLst>
        </xdr:cNvPr>
        <xdr:cNvGrpSpPr/>
      </xdr:nvGrpSpPr>
      <xdr:grpSpPr>
        <a:xfrm>
          <a:off x="75197" y="2919495"/>
          <a:ext cx="1604463" cy="2198269"/>
          <a:chOff x="75197" y="3722272"/>
          <a:chExt cx="1595689" cy="2168190"/>
        </a:xfrm>
        <a:effectLst>
          <a:outerShdw blurRad="76200" dist="12700" dir="2700000" sy="-23000" kx="-800400" algn="bl" rotWithShape="0">
            <a:prstClr val="black">
              <a:alpha val="20000"/>
            </a:prstClr>
          </a:outerShdw>
        </a:effectLst>
      </xdr:grpSpPr>
      <xdr:grpSp>
        <xdr:nvGrpSpPr>
          <xdr:cNvPr id="45" name="Agrupar 44">
            <a:extLst>
              <a:ext uri="{FF2B5EF4-FFF2-40B4-BE49-F238E27FC236}">
                <a16:creationId xmlns:a16="http://schemas.microsoft.com/office/drawing/2014/main" id="{16BAE477-5DDA-48A1-8054-D3F3DEE7B96D}"/>
              </a:ext>
            </a:extLst>
          </xdr:cNvPr>
          <xdr:cNvGrpSpPr/>
        </xdr:nvGrpSpPr>
        <xdr:grpSpPr>
          <a:xfrm>
            <a:off x="87730" y="3722272"/>
            <a:ext cx="1570623" cy="443815"/>
            <a:chOff x="4692316" y="3438525"/>
            <a:chExt cx="1570623" cy="355824"/>
          </a:xfrm>
        </xdr:grpSpPr>
        <xdr:sp macro="" textlink="">
          <xdr:nvSpPr>
            <xdr:cNvPr id="55" name="Retângulo: Cantos Arredondados 54">
              <a:extLst>
                <a:ext uri="{FF2B5EF4-FFF2-40B4-BE49-F238E27FC236}">
                  <a16:creationId xmlns:a16="http://schemas.microsoft.com/office/drawing/2014/main" id="{696CA722-908F-46F9-8157-D18383AFC580}"/>
                </a:ext>
              </a:extLst>
            </xdr:cNvPr>
            <xdr:cNvSpPr/>
          </xdr:nvSpPr>
          <xdr:spPr>
            <a:xfrm>
              <a:off x="4692316" y="3438525"/>
              <a:ext cx="304800" cy="355824"/>
            </a:xfrm>
            <a:prstGeom prst="roundRect">
              <a:avLst>
                <a:gd name="adj" fmla="val 19444"/>
              </a:avLst>
            </a:prstGeom>
            <a:solidFill>
              <a:srgbClr val="C0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56" name="Retângulo: Cantos Arredondados 55">
              <a:hlinkClick xmlns:r="http://schemas.openxmlformats.org/officeDocument/2006/relationships" r:id="rId2"/>
              <a:extLst>
                <a:ext uri="{FF2B5EF4-FFF2-40B4-BE49-F238E27FC236}">
                  <a16:creationId xmlns:a16="http://schemas.microsoft.com/office/drawing/2014/main" id="{0DB8187B-1B2F-43F1-BF45-D8D473A28155}"/>
                </a:ext>
              </a:extLst>
            </xdr:cNvPr>
            <xdr:cNvSpPr/>
          </xdr:nvSpPr>
          <xdr:spPr>
            <a:xfrm>
              <a:off x="4746458" y="3438525"/>
              <a:ext cx="1516481" cy="350922"/>
            </a:xfrm>
            <a:prstGeom prst="roundRect">
              <a:avLst>
                <a:gd name="adj" fmla="val 6667"/>
              </a:avLst>
            </a:prstGeom>
            <a:solidFill>
              <a:srgbClr val="1F2023"/>
            </a:solidFill>
            <a:ln>
              <a:solidFill>
                <a:schemeClr val="bg2">
                  <a:lumMod val="2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AO" sz="1050" b="1" baseline="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Visão Geal</a:t>
              </a:r>
              <a:endParaRPr lang="pt-BR" sz="105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46" name="Agrupar 45">
            <a:extLst>
              <a:ext uri="{FF2B5EF4-FFF2-40B4-BE49-F238E27FC236}">
                <a16:creationId xmlns:a16="http://schemas.microsoft.com/office/drawing/2014/main" id="{7F337AE1-F9F3-4311-BD32-A5A80DE6E9DD}"/>
              </a:ext>
            </a:extLst>
          </xdr:cNvPr>
          <xdr:cNvGrpSpPr/>
        </xdr:nvGrpSpPr>
        <xdr:grpSpPr>
          <a:xfrm>
            <a:off x="87730" y="4294606"/>
            <a:ext cx="1570623" cy="451185"/>
            <a:chOff x="4692316" y="3438525"/>
            <a:chExt cx="1570623" cy="361733"/>
          </a:xfrm>
        </xdr:grpSpPr>
        <xdr:sp macro="" textlink="">
          <xdr:nvSpPr>
            <xdr:cNvPr id="53" name="Retângulo: Cantos Arredondados 52">
              <a:extLst>
                <a:ext uri="{FF2B5EF4-FFF2-40B4-BE49-F238E27FC236}">
                  <a16:creationId xmlns:a16="http://schemas.microsoft.com/office/drawing/2014/main" id="{4B6394EC-7F71-435A-A72F-5DCED085F0DF}"/>
                </a:ext>
              </a:extLst>
            </xdr:cNvPr>
            <xdr:cNvSpPr/>
          </xdr:nvSpPr>
          <xdr:spPr>
            <a:xfrm>
              <a:off x="4692316" y="3438525"/>
              <a:ext cx="304800" cy="361733"/>
            </a:xfrm>
            <a:prstGeom prst="roundRect">
              <a:avLst>
                <a:gd name="adj" fmla="val 19444"/>
              </a:avLst>
            </a:prstGeom>
            <a:solidFill>
              <a:srgbClr val="FFCB00">
                <a:alpha val="69804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54" name="Retângulo: Cantos Arredondados 53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F486EF41-DAB1-4B29-90A6-E334AD4544E4}"/>
                </a:ext>
              </a:extLst>
            </xdr:cNvPr>
            <xdr:cNvSpPr/>
          </xdr:nvSpPr>
          <xdr:spPr>
            <a:xfrm>
              <a:off x="4746458" y="3438525"/>
              <a:ext cx="1516481" cy="350922"/>
            </a:xfrm>
            <a:prstGeom prst="roundRect">
              <a:avLst>
                <a:gd name="adj" fmla="val 6667"/>
              </a:avLst>
            </a:prstGeom>
            <a:solidFill>
              <a:srgbClr val="1F2023"/>
            </a:solidFill>
            <a:ln>
              <a:solidFill>
                <a:schemeClr val="bg2">
                  <a:lumMod val="2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AO" sz="105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Evolução</a:t>
              </a:r>
              <a:r>
                <a:rPr lang="pt-AO" sz="1050" b="1" baseline="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Econômica</a:t>
              </a:r>
              <a:endParaRPr lang="pt-BR" sz="105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47" name="Agrupar 46">
            <a:extLst>
              <a:ext uri="{FF2B5EF4-FFF2-40B4-BE49-F238E27FC236}">
                <a16:creationId xmlns:a16="http://schemas.microsoft.com/office/drawing/2014/main" id="{75D88679-1D2E-4ABF-AA5F-902EA33B2522}"/>
              </a:ext>
            </a:extLst>
          </xdr:cNvPr>
          <xdr:cNvGrpSpPr/>
        </xdr:nvGrpSpPr>
        <xdr:grpSpPr>
          <a:xfrm>
            <a:off x="100263" y="4866946"/>
            <a:ext cx="1570623" cy="437701"/>
            <a:chOff x="4692316" y="3438525"/>
            <a:chExt cx="1570623" cy="350922"/>
          </a:xfrm>
        </xdr:grpSpPr>
        <xdr:sp macro="" textlink="">
          <xdr:nvSpPr>
            <xdr:cNvPr id="51" name="Retângulo: Cantos Arredondados 50">
              <a:extLst>
                <a:ext uri="{FF2B5EF4-FFF2-40B4-BE49-F238E27FC236}">
                  <a16:creationId xmlns:a16="http://schemas.microsoft.com/office/drawing/2014/main" id="{65C88B5D-2E45-4BFB-9837-9F593DEB2951}"/>
                </a:ext>
              </a:extLst>
            </xdr:cNvPr>
            <xdr:cNvSpPr/>
          </xdr:nvSpPr>
          <xdr:spPr>
            <a:xfrm>
              <a:off x="4692316" y="3446940"/>
              <a:ext cx="304800" cy="338943"/>
            </a:xfrm>
            <a:prstGeom prst="roundRect">
              <a:avLst>
                <a:gd name="adj" fmla="val 19444"/>
              </a:avLst>
            </a:prstGeom>
            <a:solidFill>
              <a:srgbClr val="FFCB00">
                <a:alpha val="69804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52" name="Retângulo: Cantos Arredondados 51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DEF5B98F-9C5D-4F0A-9B1D-30B671207FEE}"/>
                </a:ext>
              </a:extLst>
            </xdr:cNvPr>
            <xdr:cNvSpPr/>
          </xdr:nvSpPr>
          <xdr:spPr>
            <a:xfrm>
              <a:off x="4746458" y="3438525"/>
              <a:ext cx="1516481" cy="350922"/>
            </a:xfrm>
            <a:prstGeom prst="roundRect">
              <a:avLst>
                <a:gd name="adj" fmla="val 6667"/>
              </a:avLst>
            </a:prstGeom>
            <a:solidFill>
              <a:srgbClr val="1F2023"/>
            </a:solidFill>
            <a:ln>
              <a:solidFill>
                <a:schemeClr val="bg2">
                  <a:lumMod val="2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AO" sz="105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Preço</a:t>
              </a:r>
              <a:r>
                <a:rPr lang="pt-AO" sz="1050" b="1" baseline="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vs Volume</a:t>
              </a:r>
              <a:endParaRPr lang="pt-BR" sz="105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48" name="Agrupar 47">
            <a:extLst>
              <a:ext uri="{FF2B5EF4-FFF2-40B4-BE49-F238E27FC236}">
                <a16:creationId xmlns:a16="http://schemas.microsoft.com/office/drawing/2014/main" id="{2B9DFDBA-F17A-4162-844B-3E73677C3CAC}"/>
              </a:ext>
            </a:extLst>
          </xdr:cNvPr>
          <xdr:cNvGrpSpPr/>
        </xdr:nvGrpSpPr>
        <xdr:grpSpPr>
          <a:xfrm>
            <a:off x="75197" y="5439277"/>
            <a:ext cx="1570623" cy="451185"/>
            <a:chOff x="4692316" y="3438525"/>
            <a:chExt cx="1570623" cy="361733"/>
          </a:xfrm>
        </xdr:grpSpPr>
        <xdr:sp macro="" textlink="">
          <xdr:nvSpPr>
            <xdr:cNvPr id="49" name="Retângulo: Cantos Arredondados 48">
              <a:extLst>
                <a:ext uri="{FF2B5EF4-FFF2-40B4-BE49-F238E27FC236}">
                  <a16:creationId xmlns:a16="http://schemas.microsoft.com/office/drawing/2014/main" id="{07838C95-FBDE-4E38-BA42-7F002DDCC0C7}"/>
                </a:ext>
              </a:extLst>
            </xdr:cNvPr>
            <xdr:cNvSpPr/>
          </xdr:nvSpPr>
          <xdr:spPr>
            <a:xfrm>
              <a:off x="4692316" y="3438525"/>
              <a:ext cx="304800" cy="361733"/>
            </a:xfrm>
            <a:prstGeom prst="roundRect">
              <a:avLst>
                <a:gd name="adj" fmla="val 19444"/>
              </a:avLst>
            </a:prstGeom>
            <a:solidFill>
              <a:srgbClr val="FFCB00">
                <a:alpha val="69804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50" name="Retângulo: Cantos Arredondados 49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556276B5-81F6-4208-85F8-C6479F1C392A}"/>
                </a:ext>
              </a:extLst>
            </xdr:cNvPr>
            <xdr:cNvSpPr/>
          </xdr:nvSpPr>
          <xdr:spPr>
            <a:xfrm>
              <a:off x="4746458" y="3438525"/>
              <a:ext cx="1516481" cy="350922"/>
            </a:xfrm>
            <a:prstGeom prst="roundRect">
              <a:avLst>
                <a:gd name="adj" fmla="val 6667"/>
              </a:avLst>
            </a:prstGeom>
            <a:solidFill>
              <a:srgbClr val="1F2023"/>
            </a:solidFill>
            <a:ln>
              <a:solidFill>
                <a:schemeClr val="bg2">
                  <a:lumMod val="2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AO" sz="105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Estrutura</a:t>
              </a:r>
              <a:r>
                <a:rPr lang="pt-AO" sz="1050" b="1" baseline="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Setorial</a:t>
              </a:r>
              <a:endParaRPr lang="pt-BR" sz="105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9</xdr:col>
      <xdr:colOff>19929</xdr:colOff>
      <xdr:row>6</xdr:row>
      <xdr:rowOff>78460</xdr:rowOff>
    </xdr:from>
    <xdr:to>
      <xdr:col>40</xdr:col>
      <xdr:colOff>108242</xdr:colOff>
      <xdr:row>21</xdr:row>
      <xdr:rowOff>28960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9BE10363-6367-4443-A70C-9348599BC003}"/>
            </a:ext>
          </a:extLst>
        </xdr:cNvPr>
        <xdr:cNvGrpSpPr/>
      </xdr:nvGrpSpPr>
      <xdr:grpSpPr>
        <a:xfrm>
          <a:off x="1948742" y="1221460"/>
          <a:ext cx="6732000" cy="2808000"/>
          <a:chOff x="1948742" y="1585668"/>
          <a:chExt cx="7254789" cy="2834684"/>
        </a:xfrm>
      </xdr:grpSpPr>
      <xdr:sp macro="" textlink="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E62BDDA1-EBA0-492D-B5CA-BA25D85ECC44}"/>
              </a:ext>
            </a:extLst>
          </xdr:cNvPr>
          <xdr:cNvSpPr/>
        </xdr:nvSpPr>
        <xdr:spPr>
          <a:xfrm>
            <a:off x="1948742" y="1585668"/>
            <a:ext cx="7254789" cy="2834684"/>
          </a:xfrm>
          <a:prstGeom prst="roundRect">
            <a:avLst>
              <a:gd name="adj" fmla="val 4291"/>
            </a:avLst>
          </a:prstGeom>
          <a:solidFill>
            <a:srgbClr val="18191C"/>
          </a:solidFill>
          <a:ln w="9525">
            <a:solidFill>
              <a:schemeClr val="bg2">
                <a:lumMod val="25000"/>
              </a:schemeClr>
            </a:solidFill>
          </a:ln>
          <a:effectLst>
            <a:innerShdw blurRad="114300">
              <a:prstClr val="black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AO" sz="1200" b="1" baseline="0">
                <a:solidFill>
                  <a:schemeClr val="bg1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Províncias com Maior Crescimento Acumulado (2020–2025)</a:t>
            </a:r>
          </a:p>
        </xdr:txBody>
      </xdr:sp>
      <xdr:graphicFrame macro="">
        <xdr:nvGraphicFramePr>
          <xdr:cNvPr id="57" name="Gráfico 56">
            <a:extLst>
              <a:ext uri="{FF2B5EF4-FFF2-40B4-BE49-F238E27FC236}">
                <a16:creationId xmlns:a16="http://schemas.microsoft.com/office/drawing/2014/main" id="{D341A6FA-2190-4AD2-9EAD-702ADA165C7D}"/>
              </a:ext>
            </a:extLst>
          </xdr:cNvPr>
          <xdr:cNvGraphicFramePr>
            <a:graphicFrameLocks/>
          </xdr:cNvGraphicFramePr>
        </xdr:nvGraphicFramePr>
        <xdr:xfrm>
          <a:off x="1988344" y="1956027"/>
          <a:ext cx="7084218" cy="238975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>
    <xdr:from>
      <xdr:col>42</xdr:col>
      <xdr:colOff>107156</xdr:colOff>
      <xdr:row>6</xdr:row>
      <xdr:rowOff>78460</xdr:rowOff>
    </xdr:from>
    <xdr:to>
      <xdr:col>73</xdr:col>
      <xdr:colOff>195468</xdr:colOff>
      <xdr:row>21</xdr:row>
      <xdr:rowOff>28960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23C325CA-CB43-4F53-B716-1CE36923ECF8}"/>
            </a:ext>
          </a:extLst>
        </xdr:cNvPr>
        <xdr:cNvGrpSpPr/>
      </xdr:nvGrpSpPr>
      <xdr:grpSpPr>
        <a:xfrm>
          <a:off x="9108281" y="1221460"/>
          <a:ext cx="6732000" cy="2808000"/>
          <a:chOff x="9108281" y="1221460"/>
          <a:chExt cx="6732000" cy="2808000"/>
        </a:xfrm>
      </xdr:grpSpPr>
      <xdr:sp macro="" textlink="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id="{B78FD23B-A620-49EF-8719-A7CC2331976D}"/>
              </a:ext>
            </a:extLst>
          </xdr:cNvPr>
          <xdr:cNvSpPr/>
        </xdr:nvSpPr>
        <xdr:spPr>
          <a:xfrm>
            <a:off x="9108281" y="1221460"/>
            <a:ext cx="6732000" cy="2808000"/>
          </a:xfrm>
          <a:prstGeom prst="roundRect">
            <a:avLst>
              <a:gd name="adj" fmla="val 4291"/>
            </a:avLst>
          </a:prstGeom>
          <a:solidFill>
            <a:srgbClr val="18191C"/>
          </a:solidFill>
          <a:ln w="9525">
            <a:solidFill>
              <a:schemeClr val="bg2">
                <a:lumMod val="25000"/>
              </a:schemeClr>
            </a:solidFill>
          </a:ln>
          <a:effectLst>
            <a:innerShdw blurRad="114300">
              <a:prstClr val="black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AO" sz="1200" b="1" baseline="0">
                <a:solidFill>
                  <a:schemeClr val="bg1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Consistência do Crescimento Econômico (2020–2025)</a:t>
            </a:r>
          </a:p>
        </xdr:txBody>
      </xdr:sp>
      <xdr:graphicFrame macro="">
        <xdr:nvGraphicFramePr>
          <xdr:cNvPr id="59" name="Gráfico 58">
            <a:extLst>
              <a:ext uri="{FF2B5EF4-FFF2-40B4-BE49-F238E27FC236}">
                <a16:creationId xmlns:a16="http://schemas.microsoft.com/office/drawing/2014/main" id="{F2A14A5F-4F02-4798-B7EE-4C84453464FF}"/>
              </a:ext>
            </a:extLst>
          </xdr:cNvPr>
          <xdr:cNvGraphicFramePr>
            <a:graphicFrameLocks/>
          </xdr:cNvGraphicFramePr>
        </xdr:nvGraphicFramePr>
        <xdr:xfrm>
          <a:off x="9172413" y="1594175"/>
          <a:ext cx="6607604" cy="235700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  <xdr:twoCellAnchor>
    <xdr:from>
      <xdr:col>78</xdr:col>
      <xdr:colOff>0</xdr:colOff>
      <xdr:row>19</xdr:row>
      <xdr:rowOff>0</xdr:rowOff>
    </xdr:from>
    <xdr:to>
      <xdr:col>80</xdr:col>
      <xdr:colOff>133350</xdr:colOff>
      <xdr:row>21</xdr:row>
      <xdr:rowOff>76200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07F46F88-E822-4D81-A660-8FF144C38291}"/>
            </a:ext>
          </a:extLst>
        </xdr:cNvPr>
        <xdr:cNvSpPr txBox="1">
          <a:spLocks noChangeArrowheads="1"/>
        </xdr:cNvSpPr>
      </xdr:nvSpPr>
      <xdr:spPr bwMode="auto">
        <a:xfrm>
          <a:off x="17087850" y="3619500"/>
          <a:ext cx="571500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estrutura econômica das províncias com maior crescimento entre 2020 e 2025</a:t>
          </a:r>
        </a:p>
      </xdr:txBody>
    </xdr:sp>
    <xdr:clientData/>
  </xdr:twoCellAnchor>
  <xdr:twoCellAnchor>
    <xdr:from>
      <xdr:col>8</xdr:col>
      <xdr:colOff>210782</xdr:colOff>
      <xdr:row>22</xdr:row>
      <xdr:rowOff>17858</xdr:rowOff>
    </xdr:from>
    <xdr:to>
      <xdr:col>40</xdr:col>
      <xdr:colOff>84782</xdr:colOff>
      <xdr:row>36</xdr:row>
      <xdr:rowOff>158858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1BDE4055-78C0-412F-A871-9BB211A596EC}"/>
            </a:ext>
          </a:extLst>
        </xdr:cNvPr>
        <xdr:cNvGrpSpPr/>
      </xdr:nvGrpSpPr>
      <xdr:grpSpPr>
        <a:xfrm>
          <a:off x="1925282" y="4208858"/>
          <a:ext cx="6732000" cy="2808000"/>
          <a:chOff x="1925282" y="4208858"/>
          <a:chExt cx="6732000" cy="2808000"/>
        </a:xfrm>
      </xdr:grpSpPr>
      <xdr:sp macro="" textlink="">
        <xdr:nvSpPr>
          <xdr:cNvPr id="29" name="Retângulo: Cantos Arredondados 28">
            <a:extLst>
              <a:ext uri="{FF2B5EF4-FFF2-40B4-BE49-F238E27FC236}">
                <a16:creationId xmlns:a16="http://schemas.microsoft.com/office/drawing/2014/main" id="{03DB776B-F276-48B1-997D-279943043819}"/>
              </a:ext>
            </a:extLst>
          </xdr:cNvPr>
          <xdr:cNvSpPr/>
        </xdr:nvSpPr>
        <xdr:spPr>
          <a:xfrm>
            <a:off x="1925282" y="4208858"/>
            <a:ext cx="6732000" cy="2808000"/>
          </a:xfrm>
          <a:prstGeom prst="roundRect">
            <a:avLst>
              <a:gd name="adj" fmla="val 4291"/>
            </a:avLst>
          </a:prstGeom>
          <a:solidFill>
            <a:srgbClr val="18191C"/>
          </a:solidFill>
          <a:ln w="9525">
            <a:solidFill>
              <a:schemeClr val="bg2">
                <a:lumMod val="25000"/>
              </a:schemeClr>
            </a:solidFill>
          </a:ln>
          <a:effectLst>
            <a:innerShdw blurRad="114300">
              <a:prstClr val="black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AO" sz="1200" b="1" baseline="0">
                <a:solidFill>
                  <a:schemeClr val="bg1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Dinamismo do Crescimento Econômico (2020–2025)</a:t>
            </a:r>
          </a:p>
        </xdr:txBody>
      </xdr:sp>
      <mc:AlternateContent xmlns:mc="http://schemas.openxmlformats.org/markup-compatibility/2006">
        <mc:Choice xmlns:cx4="http://schemas.microsoft.com/office/drawing/2016/5/10/chartex" Requires="cx4">
          <xdr:graphicFrame macro="">
            <xdr:nvGraphicFramePr>
              <xdr:cNvPr id="35" name="Gráfico 34">
                <a:extLst>
                  <a:ext uri="{FF2B5EF4-FFF2-40B4-BE49-F238E27FC236}">
                    <a16:creationId xmlns:a16="http://schemas.microsoft.com/office/drawing/2014/main" id="{7498E475-A0D4-4F24-8C5C-8092F0996B02}"/>
                  </a:ext>
                </a:extLst>
              </xdr:cNvPr>
              <xdr:cNvGraphicFramePr/>
            </xdr:nvGraphicFramePr>
            <xdr:xfrm>
              <a:off x="2000249" y="4607718"/>
              <a:ext cx="6560345" cy="2369343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8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000249" y="4607718"/>
                <a:ext cx="6560345" cy="2369343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Este gráfico não está disponível na sua versão de Excel.
Editar esta forma ou salvar esta pasta de trabalho em um formato de arquivo diferente quebrará o gráfico permanentemente.</a:t>
                </a:r>
              </a:p>
            </xdr:txBody>
          </xdr:sp>
        </mc:Fallback>
      </mc:AlternateContent>
    </xdr:grpSp>
    <xdr:clientData/>
  </xdr:twoCellAnchor>
  <xdr:twoCellAnchor>
    <xdr:from>
      <xdr:col>42</xdr:col>
      <xdr:colOff>119062</xdr:colOff>
      <xdr:row>22</xdr:row>
      <xdr:rowOff>17858</xdr:rowOff>
    </xdr:from>
    <xdr:to>
      <xdr:col>73</xdr:col>
      <xdr:colOff>207374</xdr:colOff>
      <xdr:row>36</xdr:row>
      <xdr:rowOff>158858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E3E12BB5-B912-4206-8AF5-03EBA275B99A}"/>
            </a:ext>
          </a:extLst>
        </xdr:cNvPr>
        <xdr:cNvGrpSpPr/>
      </xdr:nvGrpSpPr>
      <xdr:grpSpPr>
        <a:xfrm>
          <a:off x="9120187" y="4208858"/>
          <a:ext cx="6732000" cy="2808000"/>
          <a:chOff x="9120187" y="4208858"/>
          <a:chExt cx="6732000" cy="2808000"/>
        </a:xfrm>
      </xdr:grpSpPr>
      <xdr:sp macro="" textlink="">
        <xdr:nvSpPr>
          <xdr:cNvPr id="30" name="Retângulo: Cantos Arredondados 29">
            <a:extLst>
              <a:ext uri="{FF2B5EF4-FFF2-40B4-BE49-F238E27FC236}">
                <a16:creationId xmlns:a16="http://schemas.microsoft.com/office/drawing/2014/main" id="{6B8EB950-C665-4AAE-A92C-06EDADD7D25D}"/>
              </a:ext>
            </a:extLst>
          </xdr:cNvPr>
          <xdr:cNvSpPr/>
        </xdr:nvSpPr>
        <xdr:spPr>
          <a:xfrm>
            <a:off x="9120187" y="4208858"/>
            <a:ext cx="6732000" cy="2808000"/>
          </a:xfrm>
          <a:prstGeom prst="roundRect">
            <a:avLst>
              <a:gd name="adj" fmla="val 4291"/>
            </a:avLst>
          </a:prstGeom>
          <a:solidFill>
            <a:srgbClr val="18191C"/>
          </a:solidFill>
          <a:ln w="9525">
            <a:solidFill>
              <a:schemeClr val="bg2">
                <a:lumMod val="25000"/>
              </a:schemeClr>
            </a:solidFill>
          </a:ln>
          <a:effectLst>
            <a:innerShdw blurRad="114300">
              <a:prstClr val="black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AO" sz="1200" b="1" baseline="0">
                <a:solidFill>
                  <a:schemeClr val="bg2">
                    <a:lumMod val="7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Estrutura Setorial das Províncias com Maior Crescimento (2020–2025)</a:t>
            </a:r>
          </a:p>
        </xdr:txBody>
      </xdr:sp>
      <xdr:graphicFrame macro="">
        <xdr:nvGraphicFramePr>
          <xdr:cNvPr id="37" name="Gráfico 36">
            <a:extLst>
              <a:ext uri="{FF2B5EF4-FFF2-40B4-BE49-F238E27FC236}">
                <a16:creationId xmlns:a16="http://schemas.microsoft.com/office/drawing/2014/main" id="{79308F11-9672-4FC7-B898-8CAF5E18CE79}"/>
              </a:ext>
            </a:extLst>
          </xdr:cNvPr>
          <xdr:cNvGraphicFramePr>
            <a:graphicFrameLocks/>
          </xdr:cNvGraphicFramePr>
        </xdr:nvGraphicFramePr>
        <xdr:xfrm>
          <a:off x="9179719" y="4560094"/>
          <a:ext cx="6572250" cy="240506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</xdr:rowOff>
    </xdr:from>
    <xdr:to>
      <xdr:col>79</xdr:col>
      <xdr:colOff>87730</xdr:colOff>
      <xdr:row>44</xdr:row>
      <xdr:rowOff>133584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B9C0A84F-922A-4BC3-9A39-23D27C1BBF1E}"/>
            </a:ext>
          </a:extLst>
        </xdr:cNvPr>
        <xdr:cNvGrpSpPr/>
      </xdr:nvGrpSpPr>
      <xdr:grpSpPr>
        <a:xfrm>
          <a:off x="0" y="2"/>
          <a:ext cx="16919408" cy="8405293"/>
          <a:chOff x="0" y="2"/>
          <a:chExt cx="16729197" cy="8730505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0867937A-9AEB-42F3-96F8-EEB3D9ACBC24}"/>
              </a:ext>
            </a:extLst>
          </xdr:cNvPr>
          <xdr:cNvSpPr/>
        </xdr:nvSpPr>
        <xdr:spPr>
          <a:xfrm>
            <a:off x="0" y="36634"/>
            <a:ext cx="16717291" cy="8693873"/>
          </a:xfrm>
          <a:prstGeom prst="rect">
            <a:avLst/>
          </a:prstGeom>
          <a:solidFill>
            <a:srgbClr val="0A0A0B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F085DD61-3EF7-41FC-84BF-FF3434D77055}"/>
              </a:ext>
            </a:extLst>
          </xdr:cNvPr>
          <xdr:cNvSpPr/>
        </xdr:nvSpPr>
        <xdr:spPr>
          <a:xfrm>
            <a:off x="0" y="2"/>
            <a:ext cx="16729197" cy="872191"/>
          </a:xfrm>
          <a:prstGeom prst="rect">
            <a:avLst/>
          </a:prstGeom>
          <a:solidFill>
            <a:srgbClr val="120B0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lvl="4" algn="l"/>
            <a:r>
              <a:rPr lang="pt-BR" sz="2400">
                <a:latin typeface="Arial Black" panose="020B0A04020102020204" pitchFamily="34" charset="0"/>
              </a:rPr>
              <a:t>PIB por </a:t>
            </a:r>
            <a:r>
              <a:rPr lang="pt-BR" sz="2400">
                <a:solidFill>
                  <a:srgbClr val="C00000"/>
                </a:solidFill>
                <a:latin typeface="Arial Black" panose="020B0A04020102020204" pitchFamily="34" charset="0"/>
              </a:rPr>
              <a:t>Província</a:t>
            </a:r>
            <a:r>
              <a:rPr lang="pt-BR" sz="2400">
                <a:latin typeface="Arial Black" panose="020B0A04020102020204" pitchFamily="34" charset="0"/>
              </a:rPr>
              <a:t> — Painel de Análise Económica</a:t>
            </a:r>
            <a:endParaRPr lang="pt-AO" sz="2400">
              <a:latin typeface="Arial Black" panose="020B0A04020102020204" pitchFamily="34" charset="0"/>
            </a:endParaRPr>
          </a:p>
          <a:p>
            <a:pPr lvl="4" algn="l"/>
            <a:r>
              <a:rPr lang="pt-AO" sz="1200">
                <a:solidFill>
                  <a:srgbClr val="FFCB00"/>
                </a:solidFill>
                <a:latin typeface="Arial Black" panose="020B0A04020102020204" pitchFamily="34" charset="0"/>
              </a:rPr>
              <a:t>Valores</a:t>
            </a:r>
            <a:r>
              <a:rPr lang="pt-AO" sz="1200" baseline="0">
                <a:solidFill>
                  <a:srgbClr val="FFCB00"/>
                </a:solidFill>
                <a:latin typeface="Arial Black" panose="020B0A04020102020204" pitchFamily="34" charset="0"/>
              </a:rPr>
              <a:t> em mil milhões de Kwanzas</a:t>
            </a:r>
            <a:r>
              <a:rPr lang="pt-AO" sz="1200">
                <a:solidFill>
                  <a:srgbClr val="FFCB00"/>
                </a:solidFill>
                <a:latin typeface="Arial Black" panose="020B0A04020102020204" pitchFamily="34" charset="0"/>
              </a:rPr>
              <a:t>  </a:t>
            </a:r>
            <a:endParaRPr lang="pt-BR" sz="1200">
              <a:solidFill>
                <a:srgbClr val="FFCB00"/>
              </a:solidFill>
              <a:latin typeface="Arial Black" panose="020B0A04020102020204" pitchFamily="34" charset="0"/>
            </a:endParaRPr>
          </a:p>
          <a:p>
            <a:pPr algn="l"/>
            <a:endParaRPr lang="pt-BR" sz="1100"/>
          </a:p>
        </xdr:txBody>
      </xdr:sp>
    </xdr:grpSp>
    <xdr:clientData/>
  </xdr:twoCellAnchor>
  <xdr:twoCellAnchor>
    <xdr:from>
      <xdr:col>57</xdr:col>
      <xdr:colOff>34653</xdr:colOff>
      <xdr:row>0</xdr:row>
      <xdr:rowOff>132516</xdr:rowOff>
    </xdr:from>
    <xdr:to>
      <xdr:col>78</xdr:col>
      <xdr:colOff>109519</xdr:colOff>
      <xdr:row>3</xdr:row>
      <xdr:rowOff>162928</xdr:rowOff>
    </xdr:to>
    <xdr:grpSp>
      <xdr:nvGrpSpPr>
        <xdr:cNvPr id="40" name="Agrupar 39">
          <a:extLst>
            <a:ext uri="{FF2B5EF4-FFF2-40B4-BE49-F238E27FC236}">
              <a16:creationId xmlns:a16="http://schemas.microsoft.com/office/drawing/2014/main" id="{F26022DB-2141-49CD-9A3D-38D522B6A3EF}"/>
            </a:ext>
          </a:extLst>
        </xdr:cNvPr>
        <xdr:cNvGrpSpPr/>
      </xdr:nvGrpSpPr>
      <xdr:grpSpPr>
        <a:xfrm>
          <a:off x="12179028" y="132516"/>
          <a:ext cx="4549109" cy="594392"/>
          <a:chOff x="10377237" y="132516"/>
          <a:chExt cx="5516478" cy="594392"/>
        </a:xfrm>
      </xdr:grpSpPr>
      <xdr:sp macro="" textlink="">
        <xdr:nvSpPr>
          <xdr:cNvPr id="41" name="Retângulo: Cantos Arredondados 40">
            <a:extLst>
              <a:ext uri="{FF2B5EF4-FFF2-40B4-BE49-F238E27FC236}">
                <a16:creationId xmlns:a16="http://schemas.microsoft.com/office/drawing/2014/main" id="{A6F81FD1-3883-4961-B1F8-49C2F66E54BD}"/>
              </a:ext>
            </a:extLst>
          </xdr:cNvPr>
          <xdr:cNvSpPr/>
        </xdr:nvSpPr>
        <xdr:spPr>
          <a:xfrm>
            <a:off x="10377237" y="132516"/>
            <a:ext cx="2657704" cy="594392"/>
          </a:xfrm>
          <a:prstGeom prst="roundRect">
            <a:avLst>
              <a:gd name="adj" fmla="val 28096"/>
            </a:avLst>
          </a:prstGeom>
          <a:solidFill>
            <a:srgbClr val="1F2023"/>
          </a:solidFill>
          <a:ln>
            <a:solidFill>
              <a:schemeClr val="bg2">
                <a:lumMod val="2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AO" sz="1050" b="1">
                <a:solidFill>
                  <a:schemeClr val="bg2">
                    <a:lumMod val="50000"/>
                  </a:schemeClr>
                </a:solidFill>
                <a:latin typeface="Arial Black" panose="020B0A04020102020204" pitchFamily="34" charset="0"/>
                <a:cs typeface="Arial" panose="020B0604020202020204" pitchFamily="34" charset="0"/>
              </a:rPr>
              <a:t>CENÁRIO</a:t>
            </a:r>
            <a:r>
              <a:rPr lang="pt-AO" sz="1050" b="1" baseline="0">
                <a:solidFill>
                  <a:schemeClr val="bg2">
                    <a:lumMod val="50000"/>
                  </a:schemeClr>
                </a:solidFill>
                <a:latin typeface="Arial Black" panose="020B0A04020102020204" pitchFamily="34" charset="0"/>
                <a:cs typeface="Arial" panose="020B0604020202020204" pitchFamily="34" charset="0"/>
              </a:rPr>
              <a:t> ANUAL</a:t>
            </a:r>
            <a:endParaRPr lang="pt-AO" sz="1050" b="1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cs typeface="Arial" panose="020B0604020202020204" pitchFamily="34" charset="0"/>
            </a:endParaRPr>
          </a:p>
          <a:p>
            <a:pPr algn="ctr"/>
            <a:r>
              <a:rPr lang="pt-BR" sz="1050" b="1">
                <a:solidFill>
                  <a:schemeClr val="bg1"/>
                </a:solidFill>
                <a:latin typeface="Arial Black" panose="020B0A04020102020204" pitchFamily="34" charset="0"/>
                <a:cs typeface="Arial" panose="020B0604020202020204" pitchFamily="34" charset="0"/>
              </a:rPr>
              <a:t>2025</a:t>
            </a:r>
          </a:p>
        </xdr:txBody>
      </xdr:sp>
      <xdr:sp macro="" textlink="">
        <xdr:nvSpPr>
          <xdr:cNvPr id="42" name="Retângulo: Cantos Arredondados 41">
            <a:extLst>
              <a:ext uri="{FF2B5EF4-FFF2-40B4-BE49-F238E27FC236}">
                <a16:creationId xmlns:a16="http://schemas.microsoft.com/office/drawing/2014/main" id="{D480A373-6FB3-421B-81E1-9A411BC2828B}"/>
              </a:ext>
            </a:extLst>
          </xdr:cNvPr>
          <xdr:cNvSpPr/>
        </xdr:nvSpPr>
        <xdr:spPr>
          <a:xfrm>
            <a:off x="13234736" y="132557"/>
            <a:ext cx="2658979" cy="594311"/>
          </a:xfrm>
          <a:prstGeom prst="roundRect">
            <a:avLst>
              <a:gd name="adj" fmla="val 28096"/>
            </a:avLst>
          </a:prstGeom>
          <a:solidFill>
            <a:srgbClr val="1F2023"/>
          </a:solidFill>
          <a:ln>
            <a:solidFill>
              <a:schemeClr val="bg2">
                <a:lumMod val="2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AO" sz="1050" b="1">
                <a:solidFill>
                  <a:schemeClr val="bg2">
                    <a:lumMod val="50000"/>
                  </a:schemeClr>
                </a:solidFill>
                <a:latin typeface="Arial Black" panose="020B0A04020102020204" pitchFamily="34" charset="0"/>
                <a:cs typeface="Arial" panose="020B0604020202020204" pitchFamily="34" charset="0"/>
              </a:rPr>
              <a:t>EVOLUÇÃO</a:t>
            </a:r>
            <a:r>
              <a:rPr lang="pt-AO" sz="1050" b="1" baseline="0">
                <a:solidFill>
                  <a:schemeClr val="bg2">
                    <a:lumMod val="50000"/>
                  </a:schemeClr>
                </a:solidFill>
                <a:latin typeface="Arial Black" panose="020B0A04020102020204" pitchFamily="34" charset="0"/>
                <a:cs typeface="Arial" panose="020B0604020202020204" pitchFamily="34" charset="0"/>
              </a:rPr>
              <a:t> ECONÔMICA</a:t>
            </a:r>
            <a:endParaRPr lang="pt-AO" sz="1050" b="1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cs typeface="Arial" panose="020B0604020202020204" pitchFamily="34" charset="0"/>
            </a:endParaRPr>
          </a:p>
          <a:p>
            <a:pPr algn="ctr"/>
            <a:r>
              <a:rPr lang="pt-AO" sz="1050" b="1">
                <a:solidFill>
                  <a:schemeClr val="bg1"/>
                </a:solidFill>
                <a:latin typeface="Arial Black" panose="020B0A04020102020204" pitchFamily="34" charset="0"/>
                <a:cs typeface="Arial" panose="020B0604020202020204" pitchFamily="34" charset="0"/>
              </a:rPr>
              <a:t>2020-</a:t>
            </a:r>
            <a:r>
              <a:rPr lang="pt-BR" sz="1050" b="1">
                <a:solidFill>
                  <a:schemeClr val="bg1"/>
                </a:solidFill>
                <a:latin typeface="Arial Black" panose="020B0A04020102020204" pitchFamily="34" charset="0"/>
                <a:cs typeface="Arial" panose="020B0604020202020204" pitchFamily="34" charset="0"/>
              </a:rPr>
              <a:t>2025</a:t>
            </a:r>
          </a:p>
        </xdr:txBody>
      </xdr:sp>
    </xdr:grpSp>
    <xdr:clientData/>
  </xdr:twoCellAnchor>
  <xdr:twoCellAnchor>
    <xdr:from>
      <xdr:col>9</xdr:col>
      <xdr:colOff>171389</xdr:colOff>
      <xdr:row>12</xdr:row>
      <xdr:rowOff>85481</xdr:rowOff>
    </xdr:from>
    <xdr:to>
      <xdr:col>78</xdr:col>
      <xdr:colOff>43380</xdr:colOff>
      <xdr:row>39</xdr:row>
      <xdr:rowOff>87731</xdr:rowOff>
    </xdr:to>
    <xdr:grpSp>
      <xdr:nvGrpSpPr>
        <xdr:cNvPr id="75" name="Agrupar 74">
          <a:extLst>
            <a:ext uri="{FF2B5EF4-FFF2-40B4-BE49-F238E27FC236}">
              <a16:creationId xmlns:a16="http://schemas.microsoft.com/office/drawing/2014/main" id="{A4A4C6F2-3DC5-4F62-8882-64715BC4CFCF}"/>
            </a:ext>
          </a:extLst>
        </xdr:cNvPr>
        <xdr:cNvGrpSpPr/>
      </xdr:nvGrpSpPr>
      <xdr:grpSpPr>
        <a:xfrm>
          <a:off x="2088922" y="2341402"/>
          <a:ext cx="14573076" cy="5078072"/>
          <a:chOff x="2088922" y="2341402"/>
          <a:chExt cx="14573076" cy="5078072"/>
        </a:xfrm>
      </xdr:grpSpPr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6D2A7AD7-3995-4018-83A3-2BD4FEDDF032}"/>
              </a:ext>
            </a:extLst>
          </xdr:cNvPr>
          <xdr:cNvGrpSpPr/>
        </xdr:nvGrpSpPr>
        <xdr:grpSpPr>
          <a:xfrm>
            <a:off x="2088922" y="2341402"/>
            <a:ext cx="14573076" cy="5078072"/>
            <a:chOff x="1996994" y="2341402"/>
            <a:chExt cx="6913894" cy="2797085"/>
          </a:xfrm>
        </xdr:grpSpPr>
        <xdr:sp macro="" textlink="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4782E182-C9D5-4BBF-BB08-C9724772397A}"/>
                </a:ext>
              </a:extLst>
            </xdr:cNvPr>
            <xdr:cNvSpPr/>
          </xdr:nvSpPr>
          <xdr:spPr>
            <a:xfrm>
              <a:off x="1996994" y="2341402"/>
              <a:ext cx="6833854" cy="2797085"/>
            </a:xfrm>
            <a:prstGeom prst="roundRect">
              <a:avLst>
                <a:gd name="adj" fmla="val 4291"/>
              </a:avLst>
            </a:prstGeom>
            <a:solidFill>
              <a:srgbClr val="18191C"/>
            </a:solidFill>
            <a:ln w="9525">
              <a:solidFill>
                <a:schemeClr val="bg2">
                  <a:lumMod val="25000"/>
                </a:schemeClr>
              </a:solidFill>
            </a:ln>
            <a:effectLst>
              <a:innerShdw blurRad="114300">
                <a:prstClr val="black"/>
              </a:inn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pt-AO" sz="1200" b="1" baseline="0">
                  <a:solidFill>
                    <a:schemeClr val="bg1">
                      <a:lumMod val="75000"/>
                    </a:schemeClr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Perfil do Crescimento Económico das Províncias (2020–2025)</a:t>
              </a:r>
            </a:p>
          </xdr:txBody>
        </xdr:sp>
        <xdr:graphicFrame macro="">
          <xdr:nvGraphicFramePr>
            <xdr:cNvPr id="23" name="Gráfico 22">
              <a:extLst>
                <a:ext uri="{FF2B5EF4-FFF2-40B4-BE49-F238E27FC236}">
                  <a16:creationId xmlns:a16="http://schemas.microsoft.com/office/drawing/2014/main" id="{1FC37631-7107-4F01-8747-FBF1ADEA9945}"/>
                </a:ext>
              </a:extLst>
            </xdr:cNvPr>
            <xdr:cNvGraphicFramePr>
              <a:graphicFrameLocks/>
            </xdr:cNvGraphicFramePr>
          </xdr:nvGraphicFramePr>
          <xdr:xfrm>
            <a:off x="2080461" y="2656973"/>
            <a:ext cx="6830427" cy="240631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pic>
        <xdr:nvPicPr>
          <xdr:cNvPr id="70" name="Imagem 69">
            <a:extLst>
              <a:ext uri="{FF2B5EF4-FFF2-40B4-BE49-F238E27FC236}">
                <a16:creationId xmlns:a16="http://schemas.microsoft.com/office/drawing/2014/main" id="{16BCBC88-6BBB-4B75-9C3C-7947FF02603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189342" y="3020428"/>
            <a:ext cx="14178619" cy="4312893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96345</xdr:colOff>
      <xdr:row>6</xdr:row>
      <xdr:rowOff>25072</xdr:rowOff>
    </xdr:from>
    <xdr:to>
      <xdr:col>78</xdr:col>
      <xdr:colOff>147118</xdr:colOff>
      <xdr:row>11</xdr:row>
      <xdr:rowOff>112800</xdr:rowOff>
    </xdr:to>
    <xdr:grpSp>
      <xdr:nvGrpSpPr>
        <xdr:cNvPr id="71" name="Agrupar 70">
          <a:extLst>
            <a:ext uri="{FF2B5EF4-FFF2-40B4-BE49-F238E27FC236}">
              <a16:creationId xmlns:a16="http://schemas.microsoft.com/office/drawing/2014/main" id="{328D4278-442C-4918-B6C5-DE032D524A90}"/>
            </a:ext>
          </a:extLst>
        </xdr:cNvPr>
        <xdr:cNvGrpSpPr/>
      </xdr:nvGrpSpPr>
      <xdr:grpSpPr>
        <a:xfrm>
          <a:off x="2226937" y="1153033"/>
          <a:ext cx="14538799" cy="1027695"/>
          <a:chOff x="2280987" y="1509469"/>
          <a:chExt cx="12583025" cy="701100"/>
        </a:xfrm>
      </xdr:grpSpPr>
      <xdr:sp macro="" textlink="">
        <xdr:nvSpPr>
          <xdr:cNvPr id="72" name="CaixaDeTexto 71">
            <a:extLst>
              <a:ext uri="{FF2B5EF4-FFF2-40B4-BE49-F238E27FC236}">
                <a16:creationId xmlns:a16="http://schemas.microsoft.com/office/drawing/2014/main" id="{55ECFE3B-2019-488E-8D18-51F9BE86E492}"/>
              </a:ext>
            </a:extLst>
          </xdr:cNvPr>
          <xdr:cNvSpPr txBox="1"/>
        </xdr:nvSpPr>
        <xdr:spPr>
          <a:xfrm>
            <a:off x="2443913" y="1510213"/>
            <a:ext cx="12420099" cy="70035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600" b="1" i="0">
                <a:solidFill>
                  <a:schemeClr val="bg1"/>
                </a:solidFill>
                <a:effectLst/>
                <a:latin typeface="Arial Black" panose="020B0A04020102020204" pitchFamily="34" charset="0"/>
                <a:ea typeface="+mn-ea"/>
                <a:cs typeface="+mn-cs"/>
              </a:rPr>
              <a:t>O que impulsiona o crescimento: preço ou produção?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200" b="0">
                <a:solidFill>
                  <a:schemeClr val="bg2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Cruzamento entre a variação média de preços (Quadro 4) e a variação média de volume/produção real (Quadro 8) em 2020–2025, por província. Isto revela se o crescimento nominal de cada província reflecte produção real ou é sobretudo efeito inflacionário..</a:t>
            </a:r>
          </a:p>
        </xdr:txBody>
      </xdr:sp>
      <xdr:sp macro="" textlink="">
        <xdr:nvSpPr>
          <xdr:cNvPr id="73" name="Retângulo 72">
            <a:extLst>
              <a:ext uri="{FF2B5EF4-FFF2-40B4-BE49-F238E27FC236}">
                <a16:creationId xmlns:a16="http://schemas.microsoft.com/office/drawing/2014/main" id="{863D2DA5-0781-444C-B6D2-7195B7C06018}"/>
              </a:ext>
            </a:extLst>
          </xdr:cNvPr>
          <xdr:cNvSpPr/>
        </xdr:nvSpPr>
        <xdr:spPr>
          <a:xfrm>
            <a:off x="2280987" y="1509469"/>
            <a:ext cx="75197" cy="615600"/>
          </a:xfrm>
          <a:prstGeom prst="rect">
            <a:avLst/>
          </a:prstGeom>
          <a:solidFill>
            <a:srgbClr val="FFCB00">
              <a:alpha val="70000"/>
            </a:srgbClr>
          </a:solidFill>
          <a:ln>
            <a:solidFill>
              <a:srgbClr val="FFCB00">
                <a:alpha val="70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118135</xdr:colOff>
      <xdr:row>42</xdr:row>
      <xdr:rowOff>36256</xdr:rowOff>
    </xdr:to>
    <xdr:grpSp>
      <xdr:nvGrpSpPr>
        <xdr:cNvPr id="76" name="Agrupar 75">
          <a:extLst>
            <a:ext uri="{FF2B5EF4-FFF2-40B4-BE49-F238E27FC236}">
              <a16:creationId xmlns:a16="http://schemas.microsoft.com/office/drawing/2014/main" id="{CF23273A-3331-4950-989B-048C501BC72A}"/>
            </a:ext>
          </a:extLst>
        </xdr:cNvPr>
        <xdr:cNvGrpSpPr/>
      </xdr:nvGrpSpPr>
      <xdr:grpSpPr>
        <a:xfrm>
          <a:off x="0" y="0"/>
          <a:ext cx="1822609" cy="7931980"/>
          <a:chOff x="0" y="0"/>
          <a:chExt cx="1822609" cy="7931980"/>
        </a:xfrm>
      </xdr:grpSpPr>
      <xdr:grpSp>
        <xdr:nvGrpSpPr>
          <xdr:cNvPr id="57" name="Agrupar 56">
            <a:extLst>
              <a:ext uri="{FF2B5EF4-FFF2-40B4-BE49-F238E27FC236}">
                <a16:creationId xmlns:a16="http://schemas.microsoft.com/office/drawing/2014/main" id="{9504C52E-6CDA-46E9-809A-BDE6089E88A4}"/>
              </a:ext>
            </a:extLst>
          </xdr:cNvPr>
          <xdr:cNvGrpSpPr/>
        </xdr:nvGrpSpPr>
        <xdr:grpSpPr>
          <a:xfrm>
            <a:off x="0" y="0"/>
            <a:ext cx="1822265" cy="7931980"/>
            <a:chOff x="50132" y="0"/>
            <a:chExt cx="1742072" cy="7931980"/>
          </a:xfrm>
        </xdr:grpSpPr>
        <xdr:sp macro="" textlink="">
          <xdr:nvSpPr>
            <xdr:cNvPr id="6" name="Retângulo 5">
              <a:extLst>
                <a:ext uri="{FF2B5EF4-FFF2-40B4-BE49-F238E27FC236}">
                  <a16:creationId xmlns:a16="http://schemas.microsoft.com/office/drawing/2014/main" id="{897891CF-D36F-43D2-9909-6119E831C3E1}"/>
                </a:ext>
              </a:extLst>
            </xdr:cNvPr>
            <xdr:cNvSpPr/>
          </xdr:nvSpPr>
          <xdr:spPr>
            <a:xfrm>
              <a:off x="50132" y="0"/>
              <a:ext cx="1742072" cy="7931980"/>
            </a:xfrm>
            <a:prstGeom prst="rect">
              <a:avLst/>
            </a:prstGeom>
            <a:solidFill>
              <a:srgbClr val="0A0A0B"/>
            </a:solidFill>
            <a:ln>
              <a:noFill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pSp>
          <xdr:nvGrpSpPr>
            <xdr:cNvPr id="44" name="Agrupar 43">
              <a:extLst>
                <a:ext uri="{FF2B5EF4-FFF2-40B4-BE49-F238E27FC236}">
                  <a16:creationId xmlns:a16="http://schemas.microsoft.com/office/drawing/2014/main" id="{250E3B44-560C-4135-B79D-C735E24A73A7}"/>
                </a:ext>
              </a:extLst>
            </xdr:cNvPr>
            <xdr:cNvGrpSpPr/>
          </xdr:nvGrpSpPr>
          <xdr:grpSpPr>
            <a:xfrm>
              <a:off x="139515" y="2881894"/>
              <a:ext cx="1468193" cy="2168192"/>
              <a:chOff x="75197" y="3722270"/>
              <a:chExt cx="1595689" cy="2168192"/>
            </a:xfrm>
            <a:effectLst>
              <a:outerShdw blurRad="76200" dist="12700" dir="2700000" sy="-23000" kx="-800400" algn="bl" rotWithShape="0">
                <a:prstClr val="black">
                  <a:alpha val="20000"/>
                </a:prstClr>
              </a:outerShdw>
            </a:effectLst>
          </xdr:grpSpPr>
          <xdr:grpSp>
            <xdr:nvGrpSpPr>
              <xdr:cNvPr id="45" name="Agrupar 44">
                <a:extLst>
                  <a:ext uri="{FF2B5EF4-FFF2-40B4-BE49-F238E27FC236}">
                    <a16:creationId xmlns:a16="http://schemas.microsoft.com/office/drawing/2014/main" id="{B0D32279-30D0-4BED-9690-C5E3CD2BD24A}"/>
                  </a:ext>
                </a:extLst>
              </xdr:cNvPr>
              <xdr:cNvGrpSpPr/>
            </xdr:nvGrpSpPr>
            <xdr:grpSpPr>
              <a:xfrm>
                <a:off x="87730" y="3722270"/>
                <a:ext cx="1570623" cy="451185"/>
                <a:chOff x="4692316" y="3438525"/>
                <a:chExt cx="1570623" cy="361733"/>
              </a:xfrm>
            </xdr:grpSpPr>
            <xdr:sp macro="" textlink="">
              <xdr:nvSpPr>
                <xdr:cNvPr id="55" name="Retângulo: Cantos Arredondados 54">
                  <a:extLst>
                    <a:ext uri="{FF2B5EF4-FFF2-40B4-BE49-F238E27FC236}">
                      <a16:creationId xmlns:a16="http://schemas.microsoft.com/office/drawing/2014/main" id="{1B835120-2AE9-4A3E-AE3A-A1F366B4F5E6}"/>
                    </a:ext>
                  </a:extLst>
                </xdr:cNvPr>
                <xdr:cNvSpPr/>
              </xdr:nvSpPr>
              <xdr:spPr>
                <a:xfrm>
                  <a:off x="4692316" y="3438525"/>
                  <a:ext cx="304800" cy="361733"/>
                </a:xfrm>
                <a:prstGeom prst="roundRect">
                  <a:avLst>
                    <a:gd name="adj" fmla="val 19444"/>
                  </a:avLst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/>
                </a:p>
              </xdr:txBody>
            </xdr:sp>
            <xdr:sp macro="" textlink="">
              <xdr:nvSpPr>
                <xdr:cNvPr id="56" name="Retângulo: Cantos Arredondados 55">
                  <a:hlinkClick xmlns:r="http://schemas.openxmlformats.org/officeDocument/2006/relationships" r:id="rId3"/>
                  <a:extLst>
                    <a:ext uri="{FF2B5EF4-FFF2-40B4-BE49-F238E27FC236}">
                      <a16:creationId xmlns:a16="http://schemas.microsoft.com/office/drawing/2014/main" id="{30D1E5A4-A4D5-4599-9E3A-D57F37044B9C}"/>
                    </a:ext>
                  </a:extLst>
                </xdr:cNvPr>
                <xdr:cNvSpPr/>
              </xdr:nvSpPr>
              <xdr:spPr>
                <a:xfrm>
                  <a:off x="4746458" y="3438525"/>
                  <a:ext cx="1516481" cy="350922"/>
                </a:xfrm>
                <a:prstGeom prst="roundRect">
                  <a:avLst>
                    <a:gd name="adj" fmla="val 6667"/>
                  </a:avLst>
                </a:prstGeom>
                <a:solidFill>
                  <a:srgbClr val="1F2023"/>
                </a:solidFill>
                <a:ln>
                  <a:solidFill>
                    <a:schemeClr val="bg2">
                      <a:lumMod val="25000"/>
                    </a:schemeClr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pt-AO" sz="1050" b="1" baseline="0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Visão Geal</a:t>
                  </a:r>
                  <a:endParaRPr lang="pt-BR" sz="105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  <xdr:grpSp>
            <xdr:nvGrpSpPr>
              <xdr:cNvPr id="46" name="Agrupar 45">
                <a:extLst>
                  <a:ext uri="{FF2B5EF4-FFF2-40B4-BE49-F238E27FC236}">
                    <a16:creationId xmlns:a16="http://schemas.microsoft.com/office/drawing/2014/main" id="{B2B68AFB-1820-4A30-91F3-C39B63047A45}"/>
                  </a:ext>
                </a:extLst>
              </xdr:cNvPr>
              <xdr:cNvGrpSpPr/>
            </xdr:nvGrpSpPr>
            <xdr:grpSpPr>
              <a:xfrm>
                <a:off x="87730" y="4294606"/>
                <a:ext cx="1570623" cy="451185"/>
                <a:chOff x="4692316" y="3438525"/>
                <a:chExt cx="1570623" cy="361733"/>
              </a:xfrm>
            </xdr:grpSpPr>
            <xdr:sp macro="" textlink="">
              <xdr:nvSpPr>
                <xdr:cNvPr id="53" name="Retângulo: Cantos Arredondados 52">
                  <a:extLst>
                    <a:ext uri="{FF2B5EF4-FFF2-40B4-BE49-F238E27FC236}">
                      <a16:creationId xmlns:a16="http://schemas.microsoft.com/office/drawing/2014/main" id="{743340EE-DA01-44EF-AB76-876C9EDB47C2}"/>
                    </a:ext>
                  </a:extLst>
                </xdr:cNvPr>
                <xdr:cNvSpPr/>
              </xdr:nvSpPr>
              <xdr:spPr>
                <a:xfrm>
                  <a:off x="4692316" y="3438525"/>
                  <a:ext cx="304800" cy="361733"/>
                </a:xfrm>
                <a:prstGeom prst="roundRect">
                  <a:avLst>
                    <a:gd name="adj" fmla="val 19444"/>
                  </a:avLst>
                </a:prstGeom>
                <a:solidFill>
                  <a:srgbClr val="FFCB00">
                    <a:alpha val="69804"/>
                  </a:srgb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/>
                </a:p>
              </xdr:txBody>
            </xdr:sp>
            <xdr:sp macro="" textlink="">
              <xdr:nvSpPr>
                <xdr:cNvPr id="54" name="Retângulo: Cantos Arredondados 53">
                  <a:hlinkClick xmlns:r="http://schemas.openxmlformats.org/officeDocument/2006/relationships" r:id="rId4"/>
                  <a:extLst>
                    <a:ext uri="{FF2B5EF4-FFF2-40B4-BE49-F238E27FC236}">
                      <a16:creationId xmlns:a16="http://schemas.microsoft.com/office/drawing/2014/main" id="{69DF4CFA-F3E2-43E0-8284-5B6E844EB942}"/>
                    </a:ext>
                  </a:extLst>
                </xdr:cNvPr>
                <xdr:cNvSpPr/>
              </xdr:nvSpPr>
              <xdr:spPr>
                <a:xfrm>
                  <a:off x="4746458" y="3438525"/>
                  <a:ext cx="1516481" cy="350922"/>
                </a:xfrm>
                <a:prstGeom prst="roundRect">
                  <a:avLst>
                    <a:gd name="adj" fmla="val 6667"/>
                  </a:avLst>
                </a:prstGeom>
                <a:solidFill>
                  <a:srgbClr val="1F2023"/>
                </a:solidFill>
                <a:ln>
                  <a:solidFill>
                    <a:schemeClr val="bg2">
                      <a:lumMod val="25000"/>
                    </a:schemeClr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pt-AO" sz="105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Evolução</a:t>
                  </a:r>
                  <a:r>
                    <a:rPr lang="pt-AO" sz="1050" b="1" baseline="0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 Econômica</a:t>
                  </a:r>
                  <a:endParaRPr lang="pt-BR" sz="105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  <xdr:grpSp>
            <xdr:nvGrpSpPr>
              <xdr:cNvPr id="47" name="Agrupar 46">
                <a:extLst>
                  <a:ext uri="{FF2B5EF4-FFF2-40B4-BE49-F238E27FC236}">
                    <a16:creationId xmlns:a16="http://schemas.microsoft.com/office/drawing/2014/main" id="{73889AE3-7A05-44CE-8528-9C55A3268AAB}"/>
                  </a:ext>
                </a:extLst>
              </xdr:cNvPr>
              <xdr:cNvGrpSpPr/>
            </xdr:nvGrpSpPr>
            <xdr:grpSpPr>
              <a:xfrm>
                <a:off x="100263" y="4866942"/>
                <a:ext cx="1570623" cy="451185"/>
                <a:chOff x="4692316" y="3438525"/>
                <a:chExt cx="1570623" cy="361733"/>
              </a:xfrm>
            </xdr:grpSpPr>
            <xdr:sp macro="" textlink="">
              <xdr:nvSpPr>
                <xdr:cNvPr id="51" name="Retângulo: Cantos Arredondados 50">
                  <a:extLst>
                    <a:ext uri="{FF2B5EF4-FFF2-40B4-BE49-F238E27FC236}">
                      <a16:creationId xmlns:a16="http://schemas.microsoft.com/office/drawing/2014/main" id="{4308FE8D-CFA8-4DD7-9CBE-551745A815AE}"/>
                    </a:ext>
                  </a:extLst>
                </xdr:cNvPr>
                <xdr:cNvSpPr/>
              </xdr:nvSpPr>
              <xdr:spPr>
                <a:xfrm>
                  <a:off x="4692316" y="3438525"/>
                  <a:ext cx="304800" cy="361733"/>
                </a:xfrm>
                <a:prstGeom prst="roundRect">
                  <a:avLst>
                    <a:gd name="adj" fmla="val 19444"/>
                  </a:avLst>
                </a:prstGeom>
                <a:solidFill>
                  <a:srgbClr val="FFCB00">
                    <a:alpha val="69804"/>
                  </a:srgb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/>
                </a:p>
              </xdr:txBody>
            </xdr:sp>
            <xdr:sp macro="" textlink="">
              <xdr:nvSpPr>
                <xdr:cNvPr id="52" name="Retângulo: Cantos Arredondados 51">
                  <a:hlinkClick xmlns:r="http://schemas.openxmlformats.org/officeDocument/2006/relationships" r:id="rId3"/>
                  <a:extLst>
                    <a:ext uri="{FF2B5EF4-FFF2-40B4-BE49-F238E27FC236}">
                      <a16:creationId xmlns:a16="http://schemas.microsoft.com/office/drawing/2014/main" id="{161A4D74-BA8A-4FBB-BFA1-1887BC9FAEA2}"/>
                    </a:ext>
                  </a:extLst>
                </xdr:cNvPr>
                <xdr:cNvSpPr/>
              </xdr:nvSpPr>
              <xdr:spPr>
                <a:xfrm>
                  <a:off x="4746458" y="3438525"/>
                  <a:ext cx="1516481" cy="350922"/>
                </a:xfrm>
                <a:prstGeom prst="roundRect">
                  <a:avLst>
                    <a:gd name="adj" fmla="val 6667"/>
                  </a:avLst>
                </a:prstGeom>
                <a:solidFill>
                  <a:srgbClr val="1F2023"/>
                </a:solidFill>
                <a:ln>
                  <a:solidFill>
                    <a:schemeClr val="bg2">
                      <a:lumMod val="25000"/>
                    </a:schemeClr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pt-AO" sz="105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Preço</a:t>
                  </a:r>
                  <a:r>
                    <a:rPr lang="pt-AO" sz="1050" b="1" baseline="0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 vs Volume</a:t>
                  </a:r>
                  <a:endParaRPr lang="pt-BR" sz="105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  <xdr:grpSp>
            <xdr:nvGrpSpPr>
              <xdr:cNvPr id="48" name="Agrupar 47">
                <a:extLst>
                  <a:ext uri="{FF2B5EF4-FFF2-40B4-BE49-F238E27FC236}">
                    <a16:creationId xmlns:a16="http://schemas.microsoft.com/office/drawing/2014/main" id="{2A9F200A-FF4D-43FD-9B5D-457E2F3782F5}"/>
                  </a:ext>
                </a:extLst>
              </xdr:cNvPr>
              <xdr:cNvGrpSpPr/>
            </xdr:nvGrpSpPr>
            <xdr:grpSpPr>
              <a:xfrm>
                <a:off x="75197" y="5439277"/>
                <a:ext cx="1570623" cy="451185"/>
                <a:chOff x="4692316" y="3438525"/>
                <a:chExt cx="1570623" cy="361733"/>
              </a:xfrm>
            </xdr:grpSpPr>
            <xdr:sp macro="" textlink="">
              <xdr:nvSpPr>
                <xdr:cNvPr id="49" name="Retângulo: Cantos Arredondados 48">
                  <a:extLst>
                    <a:ext uri="{FF2B5EF4-FFF2-40B4-BE49-F238E27FC236}">
                      <a16:creationId xmlns:a16="http://schemas.microsoft.com/office/drawing/2014/main" id="{FCE5302F-F83C-47D9-A604-D9425EA391B6}"/>
                    </a:ext>
                  </a:extLst>
                </xdr:cNvPr>
                <xdr:cNvSpPr/>
              </xdr:nvSpPr>
              <xdr:spPr>
                <a:xfrm>
                  <a:off x="4692316" y="3438525"/>
                  <a:ext cx="304800" cy="361733"/>
                </a:xfrm>
                <a:prstGeom prst="roundRect">
                  <a:avLst>
                    <a:gd name="adj" fmla="val 19444"/>
                  </a:avLst>
                </a:prstGeom>
                <a:solidFill>
                  <a:srgbClr val="FFCB00">
                    <a:alpha val="69804"/>
                  </a:srgb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/>
                </a:p>
              </xdr:txBody>
            </xdr:sp>
            <xdr:sp macro="" textlink="">
              <xdr:nvSpPr>
                <xdr:cNvPr id="50" name="Retângulo: Cantos Arredondados 49">
                  <a:hlinkClick xmlns:r="http://schemas.openxmlformats.org/officeDocument/2006/relationships" r:id="rId5"/>
                  <a:extLst>
                    <a:ext uri="{FF2B5EF4-FFF2-40B4-BE49-F238E27FC236}">
                      <a16:creationId xmlns:a16="http://schemas.microsoft.com/office/drawing/2014/main" id="{555B9625-4F2C-40DA-ABF3-FE80E27D3981}"/>
                    </a:ext>
                  </a:extLst>
                </xdr:cNvPr>
                <xdr:cNvSpPr/>
              </xdr:nvSpPr>
              <xdr:spPr>
                <a:xfrm>
                  <a:off x="4746458" y="3438525"/>
                  <a:ext cx="1516481" cy="350922"/>
                </a:xfrm>
                <a:prstGeom prst="roundRect">
                  <a:avLst>
                    <a:gd name="adj" fmla="val 6667"/>
                  </a:avLst>
                </a:prstGeom>
                <a:solidFill>
                  <a:srgbClr val="1F2023"/>
                </a:solidFill>
                <a:ln>
                  <a:solidFill>
                    <a:schemeClr val="bg2">
                      <a:lumMod val="25000"/>
                    </a:schemeClr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pt-AO" sz="105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Estrutura</a:t>
                  </a:r>
                  <a:r>
                    <a:rPr lang="pt-AO" sz="1050" b="1" baseline="0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 Setorial</a:t>
                  </a:r>
                  <a:endParaRPr lang="pt-BR" sz="105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</xdr:grpSp>
      </xdr:grpSp>
      <xdr:pic>
        <xdr:nvPicPr>
          <xdr:cNvPr id="43" name="Imagem 42">
            <a:extLst>
              <a:ext uri="{FF2B5EF4-FFF2-40B4-BE49-F238E27FC236}">
                <a16:creationId xmlns:a16="http://schemas.microsoft.com/office/drawing/2014/main" id="{3EEFEF18-BDD6-4852-B7BE-D26E366100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822609" cy="889224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25065</xdr:colOff>
      <xdr:row>0</xdr:row>
      <xdr:rowOff>37601</xdr:rowOff>
    </xdr:from>
    <xdr:to>
      <xdr:col>79</xdr:col>
      <xdr:colOff>75196</xdr:colOff>
      <xdr:row>44</xdr:row>
      <xdr:rowOff>171183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EF9E4203-AE43-4273-AFB7-D8320E947A4A}"/>
            </a:ext>
          </a:extLst>
        </xdr:cNvPr>
        <xdr:cNvGrpSpPr/>
      </xdr:nvGrpSpPr>
      <xdr:grpSpPr>
        <a:xfrm>
          <a:off x="25065" y="37601"/>
          <a:ext cx="16881809" cy="8405293"/>
          <a:chOff x="0" y="2"/>
          <a:chExt cx="16729197" cy="8730505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AD943667-B6BA-4B3A-B200-4BBF662BBC49}"/>
              </a:ext>
            </a:extLst>
          </xdr:cNvPr>
          <xdr:cNvSpPr/>
        </xdr:nvSpPr>
        <xdr:spPr>
          <a:xfrm>
            <a:off x="0" y="36634"/>
            <a:ext cx="16717291" cy="8693873"/>
          </a:xfrm>
          <a:prstGeom prst="rect">
            <a:avLst/>
          </a:prstGeom>
          <a:solidFill>
            <a:srgbClr val="0A0A0B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B2F6749C-F134-4248-BCB8-34159C8D7ECC}"/>
              </a:ext>
            </a:extLst>
          </xdr:cNvPr>
          <xdr:cNvSpPr/>
        </xdr:nvSpPr>
        <xdr:spPr>
          <a:xfrm>
            <a:off x="0" y="2"/>
            <a:ext cx="16729197" cy="872191"/>
          </a:xfrm>
          <a:prstGeom prst="rect">
            <a:avLst/>
          </a:prstGeom>
          <a:solidFill>
            <a:srgbClr val="120B0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lvl="4" algn="l"/>
            <a:r>
              <a:rPr lang="pt-AO" sz="2400">
                <a:latin typeface="Arial Black" panose="020B0A04020102020204" pitchFamily="34" charset="0"/>
              </a:rPr>
              <a:t> </a:t>
            </a:r>
            <a:r>
              <a:rPr lang="pt-BR" sz="2400">
                <a:latin typeface="Arial Black" panose="020B0A04020102020204" pitchFamily="34" charset="0"/>
              </a:rPr>
              <a:t>PIB por </a:t>
            </a:r>
            <a:r>
              <a:rPr lang="pt-BR" sz="2400">
                <a:solidFill>
                  <a:srgbClr val="C00000"/>
                </a:solidFill>
                <a:latin typeface="Arial Black" panose="020B0A04020102020204" pitchFamily="34" charset="0"/>
              </a:rPr>
              <a:t>Província</a:t>
            </a:r>
            <a:r>
              <a:rPr lang="pt-BR" sz="2400">
                <a:latin typeface="Arial Black" panose="020B0A04020102020204" pitchFamily="34" charset="0"/>
              </a:rPr>
              <a:t> — Painel de Análise Económica</a:t>
            </a:r>
            <a:endParaRPr lang="pt-AO" sz="2400">
              <a:latin typeface="Arial Black" panose="020B0A04020102020204" pitchFamily="34" charset="0"/>
            </a:endParaRPr>
          </a:p>
          <a:p>
            <a:pPr lvl="4" algn="l"/>
            <a:r>
              <a:rPr lang="pt-AO" sz="1200">
                <a:solidFill>
                  <a:srgbClr val="FFCB00"/>
                </a:solidFill>
                <a:latin typeface="Arial Black" panose="020B0A04020102020204" pitchFamily="34" charset="0"/>
              </a:rPr>
              <a:t>  Valores</a:t>
            </a:r>
            <a:r>
              <a:rPr lang="pt-AO" sz="1200" baseline="0">
                <a:solidFill>
                  <a:srgbClr val="FFCB00"/>
                </a:solidFill>
                <a:latin typeface="Arial Black" panose="020B0A04020102020204" pitchFamily="34" charset="0"/>
              </a:rPr>
              <a:t> em mil milhões de Kwanzas</a:t>
            </a:r>
            <a:r>
              <a:rPr lang="pt-AO" sz="1200">
                <a:solidFill>
                  <a:srgbClr val="FFCB00"/>
                </a:solidFill>
                <a:latin typeface="Arial Black" panose="020B0A04020102020204" pitchFamily="34" charset="0"/>
              </a:rPr>
              <a:t>  </a:t>
            </a:r>
            <a:endParaRPr lang="pt-BR" sz="1200">
              <a:solidFill>
                <a:srgbClr val="FFCB00"/>
              </a:solidFill>
              <a:latin typeface="Arial Black" panose="020B0A04020102020204" pitchFamily="34" charset="0"/>
            </a:endParaRPr>
          </a:p>
          <a:p>
            <a:pPr algn="l"/>
            <a:endParaRPr lang="pt-BR" sz="1100"/>
          </a:p>
        </xdr:txBody>
      </xdr:sp>
    </xdr:grpSp>
    <xdr:clientData/>
  </xdr:twoCellAnchor>
  <xdr:twoCellAnchor>
    <xdr:from>
      <xdr:col>54</xdr:col>
      <xdr:colOff>137862</xdr:colOff>
      <xdr:row>0</xdr:row>
      <xdr:rowOff>132516</xdr:rowOff>
    </xdr:from>
    <xdr:to>
      <xdr:col>75</xdr:col>
      <xdr:colOff>12532</xdr:colOff>
      <xdr:row>3</xdr:row>
      <xdr:rowOff>162928</xdr:rowOff>
    </xdr:to>
    <xdr:grpSp>
      <xdr:nvGrpSpPr>
        <xdr:cNvPr id="40" name="Agrupar 39">
          <a:extLst>
            <a:ext uri="{FF2B5EF4-FFF2-40B4-BE49-F238E27FC236}">
              <a16:creationId xmlns:a16="http://schemas.microsoft.com/office/drawing/2014/main" id="{DF235F6D-2D6C-423A-A408-330C00168AE2}"/>
            </a:ext>
          </a:extLst>
        </xdr:cNvPr>
        <xdr:cNvGrpSpPr/>
      </xdr:nvGrpSpPr>
      <xdr:grpSpPr>
        <a:xfrm>
          <a:off x="11643059" y="132516"/>
          <a:ext cx="4348914" cy="594392"/>
          <a:chOff x="10377237" y="132516"/>
          <a:chExt cx="5516478" cy="594392"/>
        </a:xfrm>
      </xdr:grpSpPr>
      <xdr:sp macro="" textlink="">
        <xdr:nvSpPr>
          <xdr:cNvPr id="41" name="Retângulo: Cantos Arredondados 40">
            <a:extLst>
              <a:ext uri="{FF2B5EF4-FFF2-40B4-BE49-F238E27FC236}">
                <a16:creationId xmlns:a16="http://schemas.microsoft.com/office/drawing/2014/main" id="{7EE2BF0F-21FC-4FFD-8B5A-96EC11BFEC2B}"/>
              </a:ext>
            </a:extLst>
          </xdr:cNvPr>
          <xdr:cNvSpPr/>
        </xdr:nvSpPr>
        <xdr:spPr>
          <a:xfrm>
            <a:off x="10377237" y="132516"/>
            <a:ext cx="2657704" cy="594392"/>
          </a:xfrm>
          <a:prstGeom prst="roundRect">
            <a:avLst>
              <a:gd name="adj" fmla="val 28096"/>
            </a:avLst>
          </a:prstGeom>
          <a:solidFill>
            <a:srgbClr val="1F2023"/>
          </a:solidFill>
          <a:ln>
            <a:solidFill>
              <a:schemeClr val="bg2">
                <a:lumMod val="2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AO" sz="1050" b="1">
                <a:solidFill>
                  <a:schemeClr val="bg2">
                    <a:lumMod val="50000"/>
                  </a:schemeClr>
                </a:solidFill>
                <a:latin typeface="Arial Black" panose="020B0A04020102020204" pitchFamily="34" charset="0"/>
                <a:cs typeface="Arial" panose="020B0604020202020204" pitchFamily="34" charset="0"/>
              </a:rPr>
              <a:t>CENÁRIO</a:t>
            </a:r>
            <a:r>
              <a:rPr lang="pt-AO" sz="1050" b="1" baseline="0">
                <a:solidFill>
                  <a:schemeClr val="bg2">
                    <a:lumMod val="50000"/>
                  </a:schemeClr>
                </a:solidFill>
                <a:latin typeface="Arial Black" panose="020B0A04020102020204" pitchFamily="34" charset="0"/>
                <a:cs typeface="Arial" panose="020B0604020202020204" pitchFamily="34" charset="0"/>
              </a:rPr>
              <a:t> ANUAL</a:t>
            </a:r>
            <a:endParaRPr lang="pt-AO" sz="1050" b="1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cs typeface="Arial" panose="020B0604020202020204" pitchFamily="34" charset="0"/>
            </a:endParaRPr>
          </a:p>
          <a:p>
            <a:pPr algn="ctr"/>
            <a:r>
              <a:rPr lang="pt-BR" sz="1050" b="1">
                <a:solidFill>
                  <a:schemeClr val="bg1"/>
                </a:solidFill>
                <a:latin typeface="Arial Black" panose="020B0A04020102020204" pitchFamily="34" charset="0"/>
                <a:cs typeface="Arial" panose="020B0604020202020204" pitchFamily="34" charset="0"/>
              </a:rPr>
              <a:t>2025</a:t>
            </a:r>
          </a:p>
        </xdr:txBody>
      </xdr:sp>
      <xdr:sp macro="" textlink="">
        <xdr:nvSpPr>
          <xdr:cNvPr id="42" name="Retângulo: Cantos Arredondados 41">
            <a:extLst>
              <a:ext uri="{FF2B5EF4-FFF2-40B4-BE49-F238E27FC236}">
                <a16:creationId xmlns:a16="http://schemas.microsoft.com/office/drawing/2014/main" id="{C8266138-67FE-424D-AD4C-D007321243CC}"/>
              </a:ext>
            </a:extLst>
          </xdr:cNvPr>
          <xdr:cNvSpPr/>
        </xdr:nvSpPr>
        <xdr:spPr>
          <a:xfrm>
            <a:off x="13234736" y="132557"/>
            <a:ext cx="2658979" cy="594311"/>
          </a:xfrm>
          <a:prstGeom prst="roundRect">
            <a:avLst>
              <a:gd name="adj" fmla="val 28096"/>
            </a:avLst>
          </a:prstGeom>
          <a:solidFill>
            <a:srgbClr val="1F2023"/>
          </a:solidFill>
          <a:ln>
            <a:solidFill>
              <a:schemeClr val="bg2">
                <a:lumMod val="2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AO" sz="1050" b="1">
                <a:solidFill>
                  <a:schemeClr val="bg2">
                    <a:lumMod val="50000"/>
                  </a:schemeClr>
                </a:solidFill>
                <a:latin typeface="Arial Black" panose="020B0A04020102020204" pitchFamily="34" charset="0"/>
                <a:cs typeface="Arial" panose="020B0604020202020204" pitchFamily="34" charset="0"/>
              </a:rPr>
              <a:t>EVOLUÇÃO</a:t>
            </a:r>
            <a:r>
              <a:rPr lang="pt-AO" sz="1050" b="1" baseline="0">
                <a:solidFill>
                  <a:schemeClr val="bg2">
                    <a:lumMod val="50000"/>
                  </a:schemeClr>
                </a:solidFill>
                <a:latin typeface="Arial Black" panose="020B0A04020102020204" pitchFamily="34" charset="0"/>
                <a:cs typeface="Arial" panose="020B0604020202020204" pitchFamily="34" charset="0"/>
              </a:rPr>
              <a:t> ECONÔMICA</a:t>
            </a:r>
            <a:endParaRPr lang="pt-AO" sz="1050" b="1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cs typeface="Arial" panose="020B0604020202020204" pitchFamily="34" charset="0"/>
            </a:endParaRPr>
          </a:p>
          <a:p>
            <a:pPr algn="ctr"/>
            <a:r>
              <a:rPr lang="pt-AO" sz="1050" b="1">
                <a:solidFill>
                  <a:schemeClr val="bg1"/>
                </a:solidFill>
                <a:latin typeface="Arial Black" panose="020B0A04020102020204" pitchFamily="34" charset="0"/>
                <a:cs typeface="Arial" panose="020B0604020202020204" pitchFamily="34" charset="0"/>
              </a:rPr>
              <a:t>2020-</a:t>
            </a:r>
            <a:r>
              <a:rPr lang="pt-BR" sz="1050" b="1">
                <a:solidFill>
                  <a:schemeClr val="bg1"/>
                </a:solidFill>
                <a:latin typeface="Arial Black" panose="020B0A04020102020204" pitchFamily="34" charset="0"/>
                <a:cs typeface="Arial" panose="020B0604020202020204" pitchFamily="34" charset="0"/>
              </a:rPr>
              <a:t>2025</a:t>
            </a:r>
          </a:p>
        </xdr:txBody>
      </xdr:sp>
    </xdr:grpSp>
    <xdr:clientData/>
  </xdr:twoCellAnchor>
  <xdr:twoCellAnchor>
    <xdr:from>
      <xdr:col>10</xdr:col>
      <xdr:colOff>50131</xdr:colOff>
      <xdr:row>5</xdr:row>
      <xdr:rowOff>105785</xdr:rowOff>
    </xdr:from>
    <xdr:to>
      <xdr:col>77</xdr:col>
      <xdr:colOff>25065</xdr:colOff>
      <xdr:row>8</xdr:row>
      <xdr:rowOff>157405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EA303401-A443-4EC4-913D-E3D99546815C}"/>
            </a:ext>
          </a:extLst>
        </xdr:cNvPr>
        <xdr:cNvGrpSpPr/>
      </xdr:nvGrpSpPr>
      <xdr:grpSpPr>
        <a:xfrm>
          <a:off x="2180723" y="1045752"/>
          <a:ext cx="14249901" cy="615600"/>
          <a:chOff x="2280987" y="1509469"/>
          <a:chExt cx="12583025" cy="615600"/>
        </a:xfrm>
      </xdr:grpSpPr>
      <xdr:sp macro="" textlink="">
        <xdr:nvSpPr>
          <xdr:cNvPr id="5" name="CaixaDeTexto 4">
            <a:extLst>
              <a:ext uri="{FF2B5EF4-FFF2-40B4-BE49-F238E27FC236}">
                <a16:creationId xmlns:a16="http://schemas.microsoft.com/office/drawing/2014/main" id="{11A8649D-7E79-470F-A3C8-9841FB5A6398}"/>
              </a:ext>
            </a:extLst>
          </xdr:cNvPr>
          <xdr:cNvSpPr txBox="1"/>
        </xdr:nvSpPr>
        <xdr:spPr>
          <a:xfrm>
            <a:off x="2443913" y="1510213"/>
            <a:ext cx="12420099" cy="6141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600" b="1" i="0">
                <a:solidFill>
                  <a:schemeClr val="bg1"/>
                </a:solidFill>
                <a:effectLst/>
                <a:latin typeface="Arial Black" panose="020B0A04020102020204" pitchFamily="34" charset="0"/>
                <a:ea typeface="+mn-ea"/>
                <a:cs typeface="+mn-cs"/>
              </a:rPr>
              <a:t>Estrutura sectorial da economia provincial</a:t>
            </a:r>
          </a:p>
          <a:p>
            <a:r>
              <a:rPr lang="pt-BR" sz="1200" b="0">
                <a:solidFill>
                  <a:schemeClr val="bg2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Composição do PIB por Agropecuária, Indústria, Serviços e Impostos sobre Produtos em 2025 — identifica a base produtiva e a produtividade sectorial de cada província.</a:t>
            </a:r>
          </a:p>
        </xdr:txBody>
      </xdr:sp>
      <xdr:sp macro="" textlink="">
        <xdr:nvSpPr>
          <xdr:cNvPr id="21" name="Retângulo 20">
            <a:extLst>
              <a:ext uri="{FF2B5EF4-FFF2-40B4-BE49-F238E27FC236}">
                <a16:creationId xmlns:a16="http://schemas.microsoft.com/office/drawing/2014/main" id="{AFD77D81-1E77-4465-BE9F-6BC5284DAAF6}"/>
              </a:ext>
            </a:extLst>
          </xdr:cNvPr>
          <xdr:cNvSpPr/>
        </xdr:nvSpPr>
        <xdr:spPr>
          <a:xfrm>
            <a:off x="2280987" y="1509469"/>
            <a:ext cx="75197" cy="615600"/>
          </a:xfrm>
          <a:prstGeom prst="rect">
            <a:avLst/>
          </a:prstGeom>
          <a:solidFill>
            <a:srgbClr val="FFCB00">
              <a:alpha val="70000"/>
            </a:srgbClr>
          </a:solidFill>
          <a:ln>
            <a:solidFill>
              <a:srgbClr val="FFCB00">
                <a:alpha val="70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10</xdr:col>
      <xdr:colOff>12533</xdr:colOff>
      <xdr:row>9</xdr:row>
      <xdr:rowOff>112796</xdr:rowOff>
    </xdr:from>
    <xdr:to>
      <xdr:col>77</xdr:col>
      <xdr:colOff>150395</xdr:colOff>
      <xdr:row>39</xdr:row>
      <xdr:rowOff>162928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98EF476B-A204-493B-9BFC-D2D6ED80E204}"/>
            </a:ext>
          </a:extLst>
        </xdr:cNvPr>
        <xdr:cNvGrpSpPr/>
      </xdr:nvGrpSpPr>
      <xdr:grpSpPr>
        <a:xfrm>
          <a:off x="2143125" y="1804737"/>
          <a:ext cx="14412829" cy="5689934"/>
          <a:chOff x="1996994" y="1804737"/>
          <a:chExt cx="14558960" cy="5689934"/>
        </a:xfrm>
      </xdr:grpSpPr>
      <xdr:sp macro="" textlink="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2A3B14AE-8FCE-4F72-846D-8CABEF0B2968}"/>
              </a:ext>
            </a:extLst>
          </xdr:cNvPr>
          <xdr:cNvSpPr/>
        </xdr:nvSpPr>
        <xdr:spPr>
          <a:xfrm>
            <a:off x="1996994" y="1804737"/>
            <a:ext cx="14558960" cy="5689934"/>
          </a:xfrm>
          <a:prstGeom prst="roundRect">
            <a:avLst>
              <a:gd name="adj" fmla="val 4291"/>
            </a:avLst>
          </a:prstGeom>
          <a:solidFill>
            <a:srgbClr val="18191C"/>
          </a:solidFill>
          <a:ln w="9525">
            <a:solidFill>
              <a:schemeClr val="bg2">
                <a:lumMod val="25000"/>
              </a:schemeClr>
            </a:solidFill>
          </a:ln>
          <a:effectLst>
            <a:innerShdw blurRad="114300">
              <a:prstClr val="black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AO" sz="1200" b="1" baseline="0">
                <a:solidFill>
                  <a:schemeClr val="bg1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Composição sectorial por província — 2025</a:t>
            </a:r>
          </a:p>
          <a:p>
            <a:pPr algn="l"/>
            <a:endParaRPr lang="pt-AO" sz="1200" b="1" baseline="0">
              <a:solidFill>
                <a:schemeClr val="bg1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aphicFrame macro="">
        <xdr:nvGraphicFramePr>
          <xdr:cNvPr id="29" name="Gráfico 28">
            <a:extLst>
              <a:ext uri="{FF2B5EF4-FFF2-40B4-BE49-F238E27FC236}">
                <a16:creationId xmlns:a16="http://schemas.microsoft.com/office/drawing/2014/main" id="{24474376-9342-454B-8C5C-7EE6748868E8}"/>
              </a:ext>
            </a:extLst>
          </xdr:cNvPr>
          <xdr:cNvGraphicFramePr>
            <a:graphicFrameLocks/>
          </xdr:cNvGraphicFramePr>
        </xdr:nvGraphicFramePr>
        <xdr:xfrm>
          <a:off x="2118060" y="2318586"/>
          <a:ext cx="13873914" cy="511342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26467</xdr:colOff>
      <xdr:row>42</xdr:row>
      <xdr:rowOff>61322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AB7187D3-B6F6-43AE-9224-AB27915519F1}"/>
            </a:ext>
          </a:extLst>
        </xdr:cNvPr>
        <xdr:cNvGrpSpPr/>
      </xdr:nvGrpSpPr>
      <xdr:grpSpPr>
        <a:xfrm>
          <a:off x="0" y="0"/>
          <a:ext cx="1944000" cy="7957046"/>
          <a:chOff x="0" y="0"/>
          <a:chExt cx="1944000" cy="7957046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0E6579B0-96C2-401B-9113-42D72B0CF549}"/>
              </a:ext>
            </a:extLst>
          </xdr:cNvPr>
          <xdr:cNvGrpSpPr/>
        </xdr:nvGrpSpPr>
        <xdr:grpSpPr>
          <a:xfrm>
            <a:off x="0" y="25066"/>
            <a:ext cx="1942599" cy="7931980"/>
            <a:chOff x="12533" y="25066"/>
            <a:chExt cx="1942599" cy="7931980"/>
          </a:xfrm>
        </xdr:grpSpPr>
        <xdr:sp macro="" textlink="">
          <xdr:nvSpPr>
            <xdr:cNvPr id="6" name="Retângulo 5">
              <a:extLst>
                <a:ext uri="{FF2B5EF4-FFF2-40B4-BE49-F238E27FC236}">
                  <a16:creationId xmlns:a16="http://schemas.microsoft.com/office/drawing/2014/main" id="{205C7008-7D44-42A8-8EF6-9C516C0CAF3B}"/>
                </a:ext>
              </a:extLst>
            </xdr:cNvPr>
            <xdr:cNvSpPr/>
          </xdr:nvSpPr>
          <xdr:spPr>
            <a:xfrm>
              <a:off x="12533" y="25066"/>
              <a:ext cx="1942599" cy="7931980"/>
            </a:xfrm>
            <a:prstGeom prst="rect">
              <a:avLst/>
            </a:prstGeom>
            <a:solidFill>
              <a:srgbClr val="0A0A0B"/>
            </a:solidFill>
            <a:ln>
              <a:noFill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pSp>
          <xdr:nvGrpSpPr>
            <xdr:cNvPr id="44" name="Agrupar 43">
              <a:extLst>
                <a:ext uri="{FF2B5EF4-FFF2-40B4-BE49-F238E27FC236}">
                  <a16:creationId xmlns:a16="http://schemas.microsoft.com/office/drawing/2014/main" id="{419132BA-DB12-4D22-BD94-48FFDC4D94DE}"/>
                </a:ext>
              </a:extLst>
            </xdr:cNvPr>
            <xdr:cNvGrpSpPr/>
          </xdr:nvGrpSpPr>
          <xdr:grpSpPr>
            <a:xfrm>
              <a:off x="175460" y="2881894"/>
              <a:ext cx="1595689" cy="2168192"/>
              <a:chOff x="75197" y="3722270"/>
              <a:chExt cx="1595689" cy="2168192"/>
            </a:xfrm>
            <a:effectLst>
              <a:outerShdw blurRad="76200" dist="12700" dir="2700000" sy="-23000" kx="-800400" algn="bl" rotWithShape="0">
                <a:prstClr val="black">
                  <a:alpha val="20000"/>
                </a:prstClr>
              </a:outerShdw>
            </a:effectLst>
          </xdr:grpSpPr>
          <xdr:grpSp>
            <xdr:nvGrpSpPr>
              <xdr:cNvPr id="45" name="Agrupar 44">
                <a:extLst>
                  <a:ext uri="{FF2B5EF4-FFF2-40B4-BE49-F238E27FC236}">
                    <a16:creationId xmlns:a16="http://schemas.microsoft.com/office/drawing/2014/main" id="{9DB1C9A7-17B4-4630-BF38-B631B2AA8A90}"/>
                  </a:ext>
                </a:extLst>
              </xdr:cNvPr>
              <xdr:cNvGrpSpPr/>
            </xdr:nvGrpSpPr>
            <xdr:grpSpPr>
              <a:xfrm>
                <a:off x="87730" y="3722270"/>
                <a:ext cx="1570623" cy="451185"/>
                <a:chOff x="4692316" y="3438525"/>
                <a:chExt cx="1570623" cy="361733"/>
              </a:xfrm>
            </xdr:grpSpPr>
            <xdr:sp macro="" textlink="">
              <xdr:nvSpPr>
                <xdr:cNvPr id="55" name="Retângulo: Cantos Arredondados 54">
                  <a:extLst>
                    <a:ext uri="{FF2B5EF4-FFF2-40B4-BE49-F238E27FC236}">
                      <a16:creationId xmlns:a16="http://schemas.microsoft.com/office/drawing/2014/main" id="{2B13CB66-9345-4514-B8FB-859C2C8A207D}"/>
                    </a:ext>
                  </a:extLst>
                </xdr:cNvPr>
                <xdr:cNvSpPr/>
              </xdr:nvSpPr>
              <xdr:spPr>
                <a:xfrm>
                  <a:off x="4692316" y="3438525"/>
                  <a:ext cx="304800" cy="361733"/>
                </a:xfrm>
                <a:prstGeom prst="roundRect">
                  <a:avLst>
                    <a:gd name="adj" fmla="val 19444"/>
                  </a:avLst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/>
                </a:p>
              </xdr:txBody>
            </xdr:sp>
            <xdr:sp macro="" textlink="">
              <xdr:nvSpPr>
                <xdr:cNvPr id="56" name="Retângulo: Cantos Arredondados 55">
                  <a:hlinkClick xmlns:r="http://schemas.openxmlformats.org/officeDocument/2006/relationships" r:id="rId2"/>
                  <a:extLst>
                    <a:ext uri="{FF2B5EF4-FFF2-40B4-BE49-F238E27FC236}">
                      <a16:creationId xmlns:a16="http://schemas.microsoft.com/office/drawing/2014/main" id="{41016CB8-BA0B-4BB8-AF90-97D422CD2469}"/>
                    </a:ext>
                  </a:extLst>
                </xdr:cNvPr>
                <xdr:cNvSpPr/>
              </xdr:nvSpPr>
              <xdr:spPr>
                <a:xfrm>
                  <a:off x="4746458" y="3438525"/>
                  <a:ext cx="1516481" cy="350922"/>
                </a:xfrm>
                <a:prstGeom prst="roundRect">
                  <a:avLst>
                    <a:gd name="adj" fmla="val 6667"/>
                  </a:avLst>
                </a:prstGeom>
                <a:solidFill>
                  <a:srgbClr val="1F2023"/>
                </a:solidFill>
                <a:ln>
                  <a:solidFill>
                    <a:schemeClr val="bg2">
                      <a:lumMod val="25000"/>
                    </a:schemeClr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pt-AO" sz="1050" b="1" baseline="0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Visão Geral</a:t>
                  </a:r>
                  <a:endParaRPr lang="pt-BR" sz="105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  <xdr:grpSp>
            <xdr:nvGrpSpPr>
              <xdr:cNvPr id="46" name="Agrupar 45">
                <a:extLst>
                  <a:ext uri="{FF2B5EF4-FFF2-40B4-BE49-F238E27FC236}">
                    <a16:creationId xmlns:a16="http://schemas.microsoft.com/office/drawing/2014/main" id="{725E7F25-B61C-438A-AC52-745B2ADB7061}"/>
                  </a:ext>
                </a:extLst>
              </xdr:cNvPr>
              <xdr:cNvGrpSpPr/>
            </xdr:nvGrpSpPr>
            <xdr:grpSpPr>
              <a:xfrm>
                <a:off x="87730" y="4294606"/>
                <a:ext cx="1570623" cy="451185"/>
                <a:chOff x="4692316" y="3438525"/>
                <a:chExt cx="1570623" cy="361733"/>
              </a:xfrm>
            </xdr:grpSpPr>
            <xdr:sp macro="" textlink="">
              <xdr:nvSpPr>
                <xdr:cNvPr id="53" name="Retângulo: Cantos Arredondados 52">
                  <a:extLst>
                    <a:ext uri="{FF2B5EF4-FFF2-40B4-BE49-F238E27FC236}">
                      <a16:creationId xmlns:a16="http://schemas.microsoft.com/office/drawing/2014/main" id="{4684F645-27A4-4534-A00D-377F0F1355E4}"/>
                    </a:ext>
                  </a:extLst>
                </xdr:cNvPr>
                <xdr:cNvSpPr/>
              </xdr:nvSpPr>
              <xdr:spPr>
                <a:xfrm>
                  <a:off x="4692316" y="3438525"/>
                  <a:ext cx="304800" cy="361733"/>
                </a:xfrm>
                <a:prstGeom prst="roundRect">
                  <a:avLst>
                    <a:gd name="adj" fmla="val 19444"/>
                  </a:avLst>
                </a:prstGeom>
                <a:solidFill>
                  <a:srgbClr val="FFCB00">
                    <a:alpha val="69804"/>
                  </a:srgb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/>
                </a:p>
              </xdr:txBody>
            </xdr:sp>
            <xdr:sp macro="" textlink="">
              <xdr:nvSpPr>
                <xdr:cNvPr id="54" name="Retângulo: Cantos Arredondados 53">
                  <a:hlinkClick xmlns:r="http://schemas.openxmlformats.org/officeDocument/2006/relationships" r:id="rId3"/>
                  <a:extLst>
                    <a:ext uri="{FF2B5EF4-FFF2-40B4-BE49-F238E27FC236}">
                      <a16:creationId xmlns:a16="http://schemas.microsoft.com/office/drawing/2014/main" id="{7169D091-7AA2-40D4-A09F-73A514FDE6E4}"/>
                    </a:ext>
                  </a:extLst>
                </xdr:cNvPr>
                <xdr:cNvSpPr/>
              </xdr:nvSpPr>
              <xdr:spPr>
                <a:xfrm>
                  <a:off x="4746458" y="3438525"/>
                  <a:ext cx="1516481" cy="350922"/>
                </a:xfrm>
                <a:prstGeom prst="roundRect">
                  <a:avLst>
                    <a:gd name="adj" fmla="val 6667"/>
                  </a:avLst>
                </a:prstGeom>
                <a:solidFill>
                  <a:srgbClr val="1F2023"/>
                </a:solidFill>
                <a:ln>
                  <a:solidFill>
                    <a:schemeClr val="bg2">
                      <a:lumMod val="25000"/>
                    </a:schemeClr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pt-AO" sz="105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Evolução</a:t>
                  </a:r>
                  <a:r>
                    <a:rPr lang="pt-AO" sz="1050" b="1" baseline="0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 Econômica</a:t>
                  </a:r>
                  <a:endParaRPr lang="pt-BR" sz="105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  <xdr:grpSp>
            <xdr:nvGrpSpPr>
              <xdr:cNvPr id="47" name="Agrupar 46">
                <a:extLst>
                  <a:ext uri="{FF2B5EF4-FFF2-40B4-BE49-F238E27FC236}">
                    <a16:creationId xmlns:a16="http://schemas.microsoft.com/office/drawing/2014/main" id="{DED37BD9-0A29-4EA0-AF30-4E31CFBA3DD8}"/>
                  </a:ext>
                </a:extLst>
              </xdr:cNvPr>
              <xdr:cNvGrpSpPr/>
            </xdr:nvGrpSpPr>
            <xdr:grpSpPr>
              <a:xfrm>
                <a:off x="100263" y="4866942"/>
                <a:ext cx="1570623" cy="451185"/>
                <a:chOff x="4692316" y="3438525"/>
                <a:chExt cx="1570623" cy="361733"/>
              </a:xfrm>
            </xdr:grpSpPr>
            <xdr:sp macro="" textlink="">
              <xdr:nvSpPr>
                <xdr:cNvPr id="51" name="Retângulo: Cantos Arredondados 50">
                  <a:extLst>
                    <a:ext uri="{FF2B5EF4-FFF2-40B4-BE49-F238E27FC236}">
                      <a16:creationId xmlns:a16="http://schemas.microsoft.com/office/drawing/2014/main" id="{AE0D224D-2931-4777-89DA-6A21A5E8DA9C}"/>
                    </a:ext>
                  </a:extLst>
                </xdr:cNvPr>
                <xdr:cNvSpPr/>
              </xdr:nvSpPr>
              <xdr:spPr>
                <a:xfrm>
                  <a:off x="4692316" y="3438525"/>
                  <a:ext cx="304800" cy="361733"/>
                </a:xfrm>
                <a:prstGeom prst="roundRect">
                  <a:avLst>
                    <a:gd name="adj" fmla="val 19444"/>
                  </a:avLst>
                </a:prstGeom>
                <a:solidFill>
                  <a:srgbClr val="FFCB00">
                    <a:alpha val="69804"/>
                  </a:srgb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/>
                </a:p>
              </xdr:txBody>
            </xdr:sp>
            <xdr:sp macro="" textlink="">
              <xdr:nvSpPr>
                <xdr:cNvPr id="52" name="Retângulo: Cantos Arredondados 51">
                  <a:hlinkClick xmlns:r="http://schemas.openxmlformats.org/officeDocument/2006/relationships" r:id="rId4"/>
                  <a:extLst>
                    <a:ext uri="{FF2B5EF4-FFF2-40B4-BE49-F238E27FC236}">
                      <a16:creationId xmlns:a16="http://schemas.microsoft.com/office/drawing/2014/main" id="{1D7375FD-4ADA-4244-AD42-525C58ACFB37}"/>
                    </a:ext>
                  </a:extLst>
                </xdr:cNvPr>
                <xdr:cNvSpPr/>
              </xdr:nvSpPr>
              <xdr:spPr>
                <a:xfrm>
                  <a:off x="4746458" y="3438525"/>
                  <a:ext cx="1516481" cy="350922"/>
                </a:xfrm>
                <a:prstGeom prst="roundRect">
                  <a:avLst>
                    <a:gd name="adj" fmla="val 6667"/>
                  </a:avLst>
                </a:prstGeom>
                <a:solidFill>
                  <a:srgbClr val="1F2023"/>
                </a:solidFill>
                <a:ln>
                  <a:solidFill>
                    <a:schemeClr val="bg2">
                      <a:lumMod val="25000"/>
                    </a:schemeClr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pt-AO" sz="105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Preço</a:t>
                  </a:r>
                  <a:r>
                    <a:rPr lang="pt-AO" sz="1050" b="1" baseline="0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 vs Volume</a:t>
                  </a:r>
                  <a:endParaRPr lang="pt-BR" sz="105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  <xdr:grpSp>
            <xdr:nvGrpSpPr>
              <xdr:cNvPr id="48" name="Agrupar 47">
                <a:extLst>
                  <a:ext uri="{FF2B5EF4-FFF2-40B4-BE49-F238E27FC236}">
                    <a16:creationId xmlns:a16="http://schemas.microsoft.com/office/drawing/2014/main" id="{3A47ECFD-48D5-46DB-A1B5-3AD7526A3787}"/>
                  </a:ext>
                </a:extLst>
              </xdr:cNvPr>
              <xdr:cNvGrpSpPr/>
            </xdr:nvGrpSpPr>
            <xdr:grpSpPr>
              <a:xfrm>
                <a:off x="75197" y="5439277"/>
                <a:ext cx="1570623" cy="451185"/>
                <a:chOff x="4692316" y="3438525"/>
                <a:chExt cx="1570623" cy="361733"/>
              </a:xfrm>
            </xdr:grpSpPr>
            <xdr:sp macro="" textlink="">
              <xdr:nvSpPr>
                <xdr:cNvPr id="49" name="Retângulo: Cantos Arredondados 48">
                  <a:extLst>
                    <a:ext uri="{FF2B5EF4-FFF2-40B4-BE49-F238E27FC236}">
                      <a16:creationId xmlns:a16="http://schemas.microsoft.com/office/drawing/2014/main" id="{14CB4D54-26A2-4D90-B695-90BEE7589072}"/>
                    </a:ext>
                  </a:extLst>
                </xdr:cNvPr>
                <xdr:cNvSpPr/>
              </xdr:nvSpPr>
              <xdr:spPr>
                <a:xfrm>
                  <a:off x="4692316" y="3438525"/>
                  <a:ext cx="304800" cy="361733"/>
                </a:xfrm>
                <a:prstGeom prst="roundRect">
                  <a:avLst>
                    <a:gd name="adj" fmla="val 19444"/>
                  </a:avLst>
                </a:prstGeom>
                <a:solidFill>
                  <a:srgbClr val="FFCB00">
                    <a:alpha val="69804"/>
                  </a:srgb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/>
                </a:p>
              </xdr:txBody>
            </xdr:sp>
            <xdr:sp macro="" textlink="">
              <xdr:nvSpPr>
                <xdr:cNvPr id="50" name="Retângulo: Cantos Arredondados 49">
                  <a:extLst>
                    <a:ext uri="{FF2B5EF4-FFF2-40B4-BE49-F238E27FC236}">
                      <a16:creationId xmlns:a16="http://schemas.microsoft.com/office/drawing/2014/main" id="{D850636C-E375-45CA-B468-64A5FFEE90E7}"/>
                    </a:ext>
                  </a:extLst>
                </xdr:cNvPr>
                <xdr:cNvSpPr/>
              </xdr:nvSpPr>
              <xdr:spPr>
                <a:xfrm>
                  <a:off x="4746458" y="3438525"/>
                  <a:ext cx="1516481" cy="350922"/>
                </a:xfrm>
                <a:prstGeom prst="roundRect">
                  <a:avLst>
                    <a:gd name="adj" fmla="val 6667"/>
                  </a:avLst>
                </a:prstGeom>
                <a:solidFill>
                  <a:srgbClr val="1F2023"/>
                </a:solidFill>
                <a:ln>
                  <a:solidFill>
                    <a:schemeClr val="bg2">
                      <a:lumMod val="25000"/>
                    </a:schemeClr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pt-AO" sz="105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Estrutura</a:t>
                  </a:r>
                  <a:r>
                    <a:rPr lang="pt-AO" sz="1050" b="1" baseline="0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 Setorial</a:t>
                  </a:r>
                  <a:endParaRPr lang="pt-BR" sz="105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</xdr:grpSp>
      </xdr:grpSp>
      <xdr:pic>
        <xdr:nvPicPr>
          <xdr:cNvPr id="43" name="Imagem 42">
            <a:extLst>
              <a:ext uri="{FF2B5EF4-FFF2-40B4-BE49-F238E27FC236}">
                <a16:creationId xmlns:a16="http://schemas.microsoft.com/office/drawing/2014/main" id="{467B51EF-EF04-4239-A993-894EA5AEFB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944000" cy="925076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IB%20POR%20PROV&#205;NCIA%202025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Q1"/>
      <sheetName val="Q2"/>
      <sheetName val="Q3"/>
      <sheetName val="Q4"/>
      <sheetName val="Q5"/>
      <sheetName val="Q6"/>
      <sheetName val="Q7"/>
      <sheetName val="Q8"/>
      <sheetName val="Planilha6"/>
      <sheetName val="Tabelas"/>
      <sheetName val="Planilha8"/>
      <sheetName val="Modelagem"/>
      <sheetName val="Planilha7"/>
      <sheetName val="Planilha4"/>
      <sheetName val="Planilha1"/>
      <sheetName val="Dashboard"/>
      <sheetName val="Dashboard (2)"/>
      <sheetName val="Dashboard (3)"/>
      <sheetName val="Estrutura Setor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80">
          <cell r="B80">
            <v>2408447.6946420008</v>
          </cell>
          <cell r="C80">
            <v>75215160.384068042</v>
          </cell>
          <cell r="D80">
            <v>2213789.2602009382</v>
          </cell>
          <cell r="E80">
            <v>3820.8285937401752</v>
          </cell>
          <cell r="F80">
            <v>79841218.167504728</v>
          </cell>
        </row>
        <row r="81">
          <cell r="B81">
            <v>15651942.319256376</v>
          </cell>
          <cell r="C81">
            <v>1686489.8948568571</v>
          </cell>
          <cell r="D81">
            <v>10237888.857350769</v>
          </cell>
          <cell r="E81">
            <v>431.76489980684835</v>
          </cell>
          <cell r="F81">
            <v>27576752.836363807</v>
          </cell>
        </row>
        <row r="82">
          <cell r="B82">
            <v>1340335.8382176701</v>
          </cell>
          <cell r="C82">
            <v>1558995.6097266003</v>
          </cell>
          <cell r="D82">
            <v>2480153.8323434629</v>
          </cell>
          <cell r="E82">
            <v>14069.878394973905</v>
          </cell>
          <cell r="F82">
            <v>5393555.1586827068</v>
          </cell>
        </row>
        <row r="83">
          <cell r="B83">
            <v>6207856.8210811298</v>
          </cell>
          <cell r="C83">
            <v>1542128.2721960002</v>
          </cell>
          <cell r="D83">
            <v>4830495.1221448714</v>
          </cell>
          <cell r="E83">
            <v>833.37851875165597</v>
          </cell>
          <cell r="F83">
            <v>12581313.593940752</v>
          </cell>
        </row>
        <row r="84">
          <cell r="B84">
            <v>10972708.464925757</v>
          </cell>
          <cell r="C84">
            <v>1264432.3111245809</v>
          </cell>
          <cell r="D84">
            <v>7273074.2148491684</v>
          </cell>
          <cell r="E84">
            <v>836.92165857133102</v>
          </cell>
          <cell r="F84">
            <v>19511051.912558075</v>
          </cell>
        </row>
        <row r="85">
          <cell r="B85">
            <v>4504567.2683301531</v>
          </cell>
          <cell r="C85">
            <v>5658547.1570642237</v>
          </cell>
          <cell r="D85">
            <v>3656381.8473131466</v>
          </cell>
          <cell r="E85">
            <v>1826.1432768580705</v>
          </cell>
          <cell r="F85">
            <v>13821322.415984381</v>
          </cell>
        </row>
        <row r="86">
          <cell r="B86">
            <v>4470003.8651148146</v>
          </cell>
          <cell r="C86">
            <v>1765746.1842988753</v>
          </cell>
          <cell r="D86">
            <v>4629680.9437443987</v>
          </cell>
          <cell r="E86">
            <v>602.93151203804325</v>
          </cell>
          <cell r="F86">
            <v>10866033.924670126</v>
          </cell>
        </row>
        <row r="87">
          <cell r="B87">
            <v>4836251.8896759422</v>
          </cell>
          <cell r="C87">
            <v>31739529.492087916</v>
          </cell>
          <cell r="D87">
            <v>107399091.68524048</v>
          </cell>
          <cell r="E87">
            <v>2078657.2746043378</v>
          </cell>
          <cell r="F87">
            <v>146053530.34160867</v>
          </cell>
        </row>
        <row r="88">
          <cell r="B88">
            <v>4309584.5010672007</v>
          </cell>
          <cell r="C88">
            <v>2078526.6359188249</v>
          </cell>
          <cell r="D88">
            <v>7905705.2091934364</v>
          </cell>
          <cell r="E88">
            <v>11331.315777734513</v>
          </cell>
          <cell r="F88">
            <v>14305147.661957197</v>
          </cell>
        </row>
        <row r="89">
          <cell r="B89">
            <v>5938086.2895776052</v>
          </cell>
          <cell r="C89">
            <v>1698811.1910846024</v>
          </cell>
          <cell r="D89">
            <v>8652038.7510099951</v>
          </cell>
          <cell r="E89">
            <v>3276.9453475035161</v>
          </cell>
          <cell r="F89">
            <v>16292213.177019706</v>
          </cell>
        </row>
        <row r="90">
          <cell r="B90">
            <v>271561.93086775334</v>
          </cell>
          <cell r="C90">
            <v>1849318.571752927</v>
          </cell>
          <cell r="D90">
            <v>1855331.5084983858</v>
          </cell>
          <cell r="E90">
            <v>34171.341729645319</v>
          </cell>
          <cell r="F90">
            <v>4010383.352848711</v>
          </cell>
        </row>
        <row r="91">
          <cell r="B91">
            <v>11002242.668400392</v>
          </cell>
          <cell r="C91">
            <v>2571610.3835920468</v>
          </cell>
          <cell r="D91">
            <v>8112239.6135329194</v>
          </cell>
          <cell r="E91">
            <v>2306.5288102160043</v>
          </cell>
          <cell r="F91">
            <v>21688399.194335572</v>
          </cell>
        </row>
        <row r="92">
          <cell r="B92">
            <v>4436892.903920142</v>
          </cell>
          <cell r="C92">
            <v>1440038.3018750581</v>
          </cell>
          <cell r="D92">
            <v>4878397.9044056935</v>
          </cell>
          <cell r="E92">
            <v>1361.2942643967835</v>
          </cell>
          <cell r="F92">
            <v>10756690.40446529</v>
          </cell>
        </row>
        <row r="93">
          <cell r="B93">
            <v>596880.35628875333</v>
          </cell>
          <cell r="C93">
            <v>1084660.8491395193</v>
          </cell>
          <cell r="D93">
            <v>1460550.4800331928</v>
          </cell>
          <cell r="E93">
            <v>697.37066969079353</v>
          </cell>
          <cell r="F93">
            <v>3142789.0561311562</v>
          </cell>
        </row>
        <row r="94">
          <cell r="B94">
            <v>3348906.7784649283</v>
          </cell>
          <cell r="C94">
            <v>15953086.333044842</v>
          </cell>
          <cell r="D94">
            <v>5437072.8403857499</v>
          </cell>
          <cell r="E94">
            <v>16036.446437922992</v>
          </cell>
          <cell r="F94">
            <v>24755102.398333441</v>
          </cell>
        </row>
        <row r="95">
          <cell r="B95">
            <v>6284396.0705057979</v>
          </cell>
          <cell r="C95">
            <v>910469.71626077814</v>
          </cell>
          <cell r="D95">
            <v>5622867.8035198506</v>
          </cell>
          <cell r="E95">
            <v>688.27847985115329</v>
          </cell>
          <cell r="F95">
            <v>12818421.868766278</v>
          </cell>
        </row>
        <row r="96">
          <cell r="B96">
            <v>7295022.5350559698</v>
          </cell>
          <cell r="C96">
            <v>5767855.3462041486</v>
          </cell>
          <cell r="D96">
            <v>18367883.848057374</v>
          </cell>
          <cell r="E96">
            <v>59979.116581429349</v>
          </cell>
          <cell r="F96">
            <v>31490740.845898923</v>
          </cell>
        </row>
        <row r="97">
          <cell r="B97">
            <v>4428062.6617401596</v>
          </cell>
          <cell r="C97">
            <v>1994788.5465283489</v>
          </cell>
          <cell r="D97">
            <v>3246352.4046018505</v>
          </cell>
          <cell r="E97">
            <v>3980.1762445093382</v>
          </cell>
          <cell r="F97">
            <v>9673183.7891148664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telv" refreshedDate="46228.659904629632" createdVersion="7" refreshedVersion="7" minRefreshableVersion="3" recordCount="18" xr:uid="{4BE7838C-09E4-496E-9562-44CC7D02239C}">
  <cacheSource type="worksheet">
    <worksheetSource name="Tabela25"/>
  </cacheSource>
  <cacheFields count="4">
    <cacheField name="Províncias" numFmtId="0">
      <sharedItems count="18">
        <s v="Bengo"/>
        <s v="Benguela"/>
        <s v="Bié"/>
        <s v="Cabinda"/>
        <s v="Cuando Cubango"/>
        <s v="Cuanza Norte"/>
        <s v="Cuanza Sul"/>
        <s v="Cunene"/>
        <s v="Huambo"/>
        <s v="Huíla"/>
        <s v="Luanda"/>
        <s v="Lunda Norte"/>
        <s v="Lunda Sul"/>
        <s v="Malanje"/>
        <s v="Moxico"/>
        <s v="Namibe"/>
        <s v="Uige"/>
        <s v="Zaire"/>
      </sharedItems>
    </cacheField>
    <cacheField name="Média do preço (%)" numFmtId="4">
      <sharedItems containsSemiMixedTypes="0" containsString="0" containsNumber="1" minValue="16.565449167578546" maxValue="28.124822383501428"/>
    </cacheField>
    <cacheField name="Média do Volume (%)" numFmtId="4">
      <sharedItems containsSemiMixedTypes="0" containsString="0" containsNumber="1" minValue="-5.2674067403944234" maxValue="8.5241338243082225"/>
    </cacheField>
    <cacheField name="Classificação" numFmtId="0">
      <sharedItems count="4">
        <s v="Crescimento com Pressão de Preços"/>
        <s v="Crescimento Real Forte"/>
        <s v="Baixo Dinamismo"/>
        <s v="Crescimento Baseado em Preço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telv" refreshedDate="46228.659904976848" createdVersion="7" refreshedVersion="7" minRefreshableVersion="3" recordCount="108" xr:uid="{30592F8C-0E0F-4E31-AE6C-9FBD495C57CF}">
  <cacheSource type="worksheet">
    <worksheetSource name="Quadro_1"/>
  </cacheSource>
  <cacheFields count="4">
    <cacheField name="Ano" numFmtId="0">
      <sharedItems containsSemiMixedTypes="0" containsString="0" containsNumber="1" containsInteger="1" minValue="2020" maxValue="2025" count="6">
        <n v="2020"/>
        <n v="2021"/>
        <n v="2022"/>
        <n v="2023"/>
        <n v="2024"/>
        <n v="2025"/>
      </sharedItems>
    </cacheField>
    <cacheField name="Coluna1" numFmtId="0">
      <sharedItems count="2">
        <s v="Litoral"/>
        <s v="Interior"/>
      </sharedItems>
    </cacheField>
    <cacheField name="Províncias" numFmtId="0">
      <sharedItems count="18">
        <s v="Luanda"/>
        <s v="Zaire"/>
        <s v="Benguela"/>
        <s v="Uige"/>
        <s v="Cabinda"/>
        <s v="Cuanza Sul"/>
        <s v="Malanje"/>
        <s v="Huambo"/>
        <s v="Huíla"/>
        <s v="Lunda Sul"/>
        <s v="Bié"/>
        <s v="Moxico"/>
        <s v="Cuanza Norte"/>
        <s v="Lunda Norte"/>
        <s v="Bengo"/>
        <s v="Namibe"/>
        <s v="Cunene"/>
        <s v="Cuando Cubango"/>
      </sharedItems>
    </cacheField>
    <cacheField name="PIB" numFmtId="4">
      <sharedItems containsSemiMixedTypes="0" containsString="0" containsNumber="1" minValue="281.86732263988836" maxValue="40810.2553672720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telv" refreshedDate="46228.659905787033" createdVersion="7" refreshedVersion="7" minRefreshableVersion="3" recordCount="18" xr:uid="{B03D9DBA-14EF-4654-8126-C7BE681FA464}">
  <cacheSource type="worksheet">
    <worksheetSource name="Quadro8"/>
  </cacheSource>
  <cacheFields count="11">
    <cacheField name="Províncias" numFmtId="0">
      <sharedItems count="18">
        <s v="Bengo"/>
        <s v="Benguela"/>
        <s v="Bié"/>
        <s v="Cabinda"/>
        <s v="Cuando Cubango"/>
        <s v="Cuanza Norte"/>
        <s v="Cuanza Sul"/>
        <s v="Cunene"/>
        <s v="Huambo"/>
        <s v="Huíla"/>
        <s v="Luanda"/>
        <s v="Lunda Norte"/>
        <s v="Lunda Sul"/>
        <s v="Malanje"/>
        <s v="Moxico"/>
        <s v="Namibe"/>
        <s v="Uige"/>
        <s v="Zaire"/>
      </sharedItems>
    </cacheField>
    <cacheField name="2020" numFmtId="4">
      <sharedItems containsSemiMixedTypes="0" containsString="0" containsNumber="1" minValue="-22.855150006822399" maxValue="16.256324460229351"/>
    </cacheField>
    <cacheField name="2021" numFmtId="4">
      <sharedItems containsSemiMixedTypes="0" containsString="0" containsNumber="1" minValue="-17.155268485348017" maxValue="20.696452546852797"/>
    </cacheField>
    <cacheField name="2022" numFmtId="4">
      <sharedItems containsSemiMixedTypes="0" containsString="0" containsNumber="1" minValue="-18.119794735164646" maxValue="15.908346416517929"/>
    </cacheField>
    <cacheField name="2023" numFmtId="4">
      <sharedItems containsSemiMixedTypes="0" containsString="0" containsNumber="1" minValue="-5.6679610554785143" maxValue="18.884011350314182"/>
    </cacheField>
    <cacheField name="2024" numFmtId="4">
      <sharedItems containsSemiMixedTypes="0" containsString="0" containsNumber="1" minValue="-12.824407772525305" maxValue="33.138034107568672"/>
    </cacheField>
    <cacheField name="2025" numFmtId="4">
      <sharedItems containsSemiMixedTypes="0" containsString="0" containsNumber="1" minValue="-4.7801126608390518" maxValue="9.6584396247826305"/>
    </cacheField>
    <cacheField name="Crescimento" numFmtId="4">
      <sharedItems containsSemiMixedTypes="0" containsString="0" containsNumber="1" minValue="-0.27833424567700615" maxValue="0.6438334601250375"/>
    </cacheField>
    <cacheField name="Desvio Padrão" numFmtId="4">
      <sharedItems containsSemiMixedTypes="0" containsString="0" containsNumber="1" minValue="2.9848931950438984" maxValue="14.507240484756082"/>
    </cacheField>
    <cacheField name="Classificação" numFmtId="4">
      <sharedItems count="6">
        <s v="Muito Consistente"/>
        <s v="Muito instável"/>
        <s v="Consistente"/>
        <s v="Instável"/>
        <s v="Muito Volátil" u="1"/>
        <s v="Moderadamente Volátil" u="1"/>
      </sharedItems>
    </cacheField>
    <cacheField name="Dinamismo" numFmtId="4">
      <sharedItems containsSemiMixedTypes="0" containsString="0" containsNumber="1" minValue="-1.3178259902954075" maxValue="4.92650025661871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n v="25.431680083628308"/>
    <n v="5.9061141697777186"/>
    <x v="0"/>
  </r>
  <r>
    <x v="1"/>
    <n v="23.781991895095373"/>
    <n v="8.5241338243082225"/>
    <x v="1"/>
  </r>
  <r>
    <x v="2"/>
    <n v="26.961593062375012"/>
    <n v="2.0223987916572335"/>
    <x v="0"/>
  </r>
  <r>
    <x v="3"/>
    <n v="21.823528821695589"/>
    <n v="-5.2674067403944234"/>
    <x v="2"/>
  </r>
  <r>
    <x v="4"/>
    <n v="19.370773537608397"/>
    <n v="-2.0583469024541281"/>
    <x v="2"/>
  </r>
  <r>
    <x v="5"/>
    <n v="26.040742636574077"/>
    <n v="2.3345021745766181"/>
    <x v="0"/>
  </r>
  <r>
    <x v="6"/>
    <n v="26.739506826422453"/>
    <n v="1.3205529231810189"/>
    <x v="3"/>
  </r>
  <r>
    <x v="7"/>
    <n v="16.565449167578546"/>
    <n v="1.3571452485661173"/>
    <x v="2"/>
  </r>
  <r>
    <x v="8"/>
    <n v="25.05517757590091"/>
    <n v="2.0766925612203813"/>
    <x v="0"/>
  </r>
  <r>
    <x v="9"/>
    <n v="24.004284790866972"/>
    <n v="2.3765570124415141"/>
    <x v="0"/>
  </r>
  <r>
    <x v="10"/>
    <n v="21.628000424405467"/>
    <n v="1.920336157516753"/>
    <x v="1"/>
  </r>
  <r>
    <x v="11"/>
    <n v="25.065428522139168"/>
    <n v="2.3601424329658394"/>
    <x v="0"/>
  </r>
  <r>
    <x v="12"/>
    <n v="24.882234284018924"/>
    <n v="1.0440688950454746"/>
    <x v="3"/>
  </r>
  <r>
    <x v="13"/>
    <n v="28.124822383501428"/>
    <n v="3.9486141619951618"/>
    <x v="0"/>
  </r>
  <r>
    <x v="14"/>
    <n v="26.217995831090921"/>
    <n v="2.8844322871290231"/>
    <x v="0"/>
  </r>
  <r>
    <x v="15"/>
    <n v="20.886756693746559"/>
    <n v="1.5839737633507152"/>
    <x v="2"/>
  </r>
  <r>
    <x v="16"/>
    <n v="28.017120826045897"/>
    <n v="2.9618228788868586"/>
    <x v="0"/>
  </r>
  <r>
    <x v="17"/>
    <n v="21.023551114095763"/>
    <n v="-0.69032396944178009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x v="0"/>
    <x v="0"/>
    <x v="0"/>
    <n v="12494.60441283916"/>
  </r>
  <r>
    <x v="0"/>
    <x v="0"/>
    <x v="1"/>
    <n v="6584.642188865274"/>
  </r>
  <r>
    <x v="0"/>
    <x v="0"/>
    <x v="2"/>
    <n v="2088.899548832826"/>
  </r>
  <r>
    <x v="0"/>
    <x v="1"/>
    <x v="3"/>
    <n v="2023.7258657660327"/>
  </r>
  <r>
    <x v="0"/>
    <x v="0"/>
    <x v="4"/>
    <n v="2648.8684209290632"/>
  </r>
  <r>
    <x v="0"/>
    <x v="0"/>
    <x v="5"/>
    <n v="2000.1571717975989"/>
  </r>
  <r>
    <x v="0"/>
    <x v="1"/>
    <x v="6"/>
    <n v="1392.0194222577275"/>
  </r>
  <r>
    <x v="0"/>
    <x v="1"/>
    <x v="7"/>
    <n v="1282.1489535983867"/>
  </r>
  <r>
    <x v="0"/>
    <x v="1"/>
    <x v="8"/>
    <n v="1107.4303439096352"/>
  </r>
  <r>
    <x v="0"/>
    <x v="1"/>
    <x v="9"/>
    <n v="1316.3938310328635"/>
  </r>
  <r>
    <x v="0"/>
    <x v="1"/>
    <x v="10"/>
    <n v="867.25375984585025"/>
  </r>
  <r>
    <x v="0"/>
    <x v="1"/>
    <x v="11"/>
    <n v="900.56477764625379"/>
  </r>
  <r>
    <x v="0"/>
    <x v="1"/>
    <x v="12"/>
    <n v="799.16944977448554"/>
  </r>
  <r>
    <x v="0"/>
    <x v="1"/>
    <x v="13"/>
    <n v="876.30784604281007"/>
  </r>
  <r>
    <x v="0"/>
    <x v="1"/>
    <x v="14"/>
    <n v="730.28747137368339"/>
  </r>
  <r>
    <x v="0"/>
    <x v="0"/>
    <x v="15"/>
    <n v="484.04654264863325"/>
  </r>
  <r>
    <x v="0"/>
    <x v="1"/>
    <x v="16"/>
    <n v="365.25964264467308"/>
  </r>
  <r>
    <x v="0"/>
    <x v="1"/>
    <x v="17"/>
    <n v="281.86732263988836"/>
  </r>
  <r>
    <x v="1"/>
    <x v="0"/>
    <x v="0"/>
    <n v="15779.8924022547"/>
  </r>
  <r>
    <x v="1"/>
    <x v="0"/>
    <x v="1"/>
    <n v="10807.481526032647"/>
  </r>
  <r>
    <x v="1"/>
    <x v="0"/>
    <x v="2"/>
    <n v="2735.2434266613923"/>
  </r>
  <r>
    <x v="1"/>
    <x v="1"/>
    <x v="3"/>
    <n v="2818.807135723614"/>
  </r>
  <r>
    <x v="1"/>
    <x v="0"/>
    <x v="4"/>
    <n v="3489.0470825595489"/>
  </r>
  <r>
    <x v="1"/>
    <x v="0"/>
    <x v="5"/>
    <n v="2609.8160522183839"/>
  </r>
  <r>
    <x v="1"/>
    <x v="1"/>
    <x v="6"/>
    <n v="2034.3654005322912"/>
  </r>
  <r>
    <x v="1"/>
    <x v="1"/>
    <x v="7"/>
    <n v="1678.1272615420223"/>
  </r>
  <r>
    <x v="1"/>
    <x v="1"/>
    <x v="8"/>
    <n v="1372.4612713498736"/>
  </r>
  <r>
    <x v="1"/>
    <x v="1"/>
    <x v="9"/>
    <n v="1582.3827647627891"/>
  </r>
  <r>
    <x v="1"/>
    <x v="1"/>
    <x v="10"/>
    <n v="1313.2173739043542"/>
  </r>
  <r>
    <x v="1"/>
    <x v="1"/>
    <x v="11"/>
    <n v="1371.4025416424072"/>
  </r>
  <r>
    <x v="1"/>
    <x v="1"/>
    <x v="12"/>
    <n v="1136.3047358984529"/>
  </r>
  <r>
    <x v="1"/>
    <x v="1"/>
    <x v="13"/>
    <n v="1235.9366448043468"/>
  </r>
  <r>
    <x v="1"/>
    <x v="1"/>
    <x v="14"/>
    <n v="945.67699078271971"/>
  </r>
  <r>
    <x v="1"/>
    <x v="0"/>
    <x v="15"/>
    <n v="610.82536330526989"/>
  </r>
  <r>
    <x v="1"/>
    <x v="1"/>
    <x v="16"/>
    <n v="492.31547287175664"/>
  </r>
  <r>
    <x v="1"/>
    <x v="1"/>
    <x v="17"/>
    <n v="410.44492504950261"/>
  </r>
  <r>
    <x v="2"/>
    <x v="0"/>
    <x v="0"/>
    <n v="20455.969726509986"/>
  </r>
  <r>
    <x v="2"/>
    <x v="0"/>
    <x v="1"/>
    <n v="11914.914823558733"/>
  </r>
  <r>
    <x v="2"/>
    <x v="0"/>
    <x v="2"/>
    <n v="3953.1818835373433"/>
  </r>
  <r>
    <x v="2"/>
    <x v="1"/>
    <x v="3"/>
    <n v="3715.6157699904074"/>
  </r>
  <r>
    <x v="2"/>
    <x v="0"/>
    <x v="4"/>
    <n v="3733.3869097155343"/>
  </r>
  <r>
    <x v="2"/>
    <x v="0"/>
    <x v="5"/>
    <n v="2887.6151718081765"/>
  </r>
  <r>
    <x v="2"/>
    <x v="1"/>
    <x v="6"/>
    <n v="2352.3178179889464"/>
  </r>
  <r>
    <x v="2"/>
    <x v="1"/>
    <x v="7"/>
    <n v="2160.2992458535055"/>
  </r>
  <r>
    <x v="2"/>
    <x v="1"/>
    <x v="8"/>
    <n v="1943.6557016362276"/>
  </r>
  <r>
    <x v="2"/>
    <x v="1"/>
    <x v="9"/>
    <n v="1750.2769191951759"/>
  </r>
  <r>
    <x v="2"/>
    <x v="1"/>
    <x v="10"/>
    <n v="1695.567909125697"/>
  </r>
  <r>
    <x v="2"/>
    <x v="1"/>
    <x v="11"/>
    <n v="1796.3632718754732"/>
  </r>
  <r>
    <x v="2"/>
    <x v="1"/>
    <x v="12"/>
    <n v="1399.0581984636497"/>
  </r>
  <r>
    <x v="2"/>
    <x v="1"/>
    <x v="13"/>
    <n v="1498.3762176946852"/>
  </r>
  <r>
    <x v="2"/>
    <x v="1"/>
    <x v="14"/>
    <n v="1189.1894326980537"/>
  </r>
  <r>
    <x v="2"/>
    <x v="0"/>
    <x v="15"/>
    <n v="610.09771610495773"/>
  </r>
  <r>
    <x v="2"/>
    <x v="1"/>
    <x v="16"/>
    <n v="558.32186817139177"/>
  </r>
  <r>
    <x v="2"/>
    <x v="1"/>
    <x v="17"/>
    <n v="483.26887750828718"/>
  </r>
  <r>
    <x v="3"/>
    <x v="0"/>
    <x v="0"/>
    <n v="24223.383223195415"/>
  </r>
  <r>
    <x v="3"/>
    <x v="0"/>
    <x v="1"/>
    <n v="14045.514864056213"/>
  </r>
  <r>
    <x v="3"/>
    <x v="0"/>
    <x v="2"/>
    <n v="4632.0873801011649"/>
  </r>
  <r>
    <x v="3"/>
    <x v="1"/>
    <x v="3"/>
    <n v="4430.2209300197228"/>
  </r>
  <r>
    <x v="3"/>
    <x v="0"/>
    <x v="4"/>
    <n v="4242.8106154817788"/>
  </r>
  <r>
    <x v="3"/>
    <x v="0"/>
    <x v="5"/>
    <n v="3398.2330239528196"/>
  </r>
  <r>
    <x v="3"/>
    <x v="1"/>
    <x v="6"/>
    <n v="3271.5452131991187"/>
  </r>
  <r>
    <x v="3"/>
    <x v="1"/>
    <x v="7"/>
    <n v="2886.0039497817033"/>
  </r>
  <r>
    <x v="3"/>
    <x v="1"/>
    <x v="8"/>
    <n v="2477.7489648252549"/>
  </r>
  <r>
    <x v="3"/>
    <x v="1"/>
    <x v="9"/>
    <n v="2363.1285811578277"/>
  </r>
  <r>
    <x v="3"/>
    <x v="1"/>
    <x v="10"/>
    <n v="2087.5039846551526"/>
  </r>
  <r>
    <x v="3"/>
    <x v="1"/>
    <x v="11"/>
    <n v="2050.8767002885743"/>
  </r>
  <r>
    <x v="3"/>
    <x v="1"/>
    <x v="12"/>
    <n v="1868.2406873475222"/>
  </r>
  <r>
    <x v="3"/>
    <x v="1"/>
    <x v="13"/>
    <n v="1765.1476902784807"/>
  </r>
  <r>
    <x v="3"/>
    <x v="1"/>
    <x v="14"/>
    <n v="1619.2494204038437"/>
  </r>
  <r>
    <x v="3"/>
    <x v="0"/>
    <x v="15"/>
    <n v="847.9021605389521"/>
  </r>
  <r>
    <x v="3"/>
    <x v="1"/>
    <x v="16"/>
    <n v="718.19060999149769"/>
  </r>
  <r>
    <x v="3"/>
    <x v="1"/>
    <x v="17"/>
    <n v="572.07964336961868"/>
  </r>
  <r>
    <x v="4"/>
    <x v="0"/>
    <x v="0"/>
    <n v="32289.425209537356"/>
  </r>
  <r>
    <x v="4"/>
    <x v="0"/>
    <x v="1"/>
    <n v="18417.764583403474"/>
  </r>
  <r>
    <x v="4"/>
    <x v="0"/>
    <x v="2"/>
    <n v="7832.6565130892122"/>
  </r>
  <r>
    <x v="4"/>
    <x v="1"/>
    <x v="3"/>
    <n v="6046.640032702674"/>
  </r>
  <r>
    <x v="4"/>
    <x v="0"/>
    <x v="4"/>
    <n v="5193.8558915354779"/>
  </r>
  <r>
    <x v="4"/>
    <x v="0"/>
    <x v="5"/>
    <n v="4615.7571603466004"/>
  </r>
  <r>
    <x v="4"/>
    <x v="1"/>
    <x v="6"/>
    <n v="4357.9843587192972"/>
  </r>
  <r>
    <x v="4"/>
    <x v="1"/>
    <x v="7"/>
    <n v="3567.6597402225548"/>
  </r>
  <r>
    <x v="4"/>
    <x v="1"/>
    <x v="8"/>
    <n v="3269.3886357161209"/>
  </r>
  <r>
    <x v="4"/>
    <x v="1"/>
    <x v="9"/>
    <n v="3089.0281925065569"/>
  </r>
  <r>
    <x v="4"/>
    <x v="1"/>
    <x v="10"/>
    <n v="2961.7526344553335"/>
  </r>
  <r>
    <x v="4"/>
    <x v="1"/>
    <x v="11"/>
    <n v="2732.118369571519"/>
  </r>
  <r>
    <x v="4"/>
    <x v="1"/>
    <x v="12"/>
    <n v="2363.2178981850957"/>
  </r>
  <r>
    <x v="4"/>
    <x v="1"/>
    <x v="13"/>
    <n v="2298.7130477297496"/>
  </r>
  <r>
    <x v="4"/>
    <x v="1"/>
    <x v="14"/>
    <n v="2249.4470333874729"/>
  </r>
  <r>
    <x v="4"/>
    <x v="0"/>
    <x v="15"/>
    <n v="1263.378045821421"/>
  </r>
  <r>
    <x v="4"/>
    <x v="1"/>
    <x v="16"/>
    <n v="831.51133803369828"/>
  </r>
  <r>
    <x v="4"/>
    <x v="1"/>
    <x v="17"/>
    <n v="630.78912361749963"/>
  </r>
  <r>
    <x v="5"/>
    <x v="0"/>
    <x v="0"/>
    <n v="40810.255367272046"/>
  </r>
  <r>
    <x v="5"/>
    <x v="0"/>
    <x v="1"/>
    <n v="18070.900181588386"/>
  </r>
  <r>
    <x v="5"/>
    <x v="0"/>
    <x v="2"/>
    <n v="10248.67209367698"/>
  </r>
  <r>
    <x v="5"/>
    <x v="1"/>
    <x v="3"/>
    <n v="8541.7431021613593"/>
  </r>
  <r>
    <x v="5"/>
    <x v="0"/>
    <x v="4"/>
    <n v="5447.1334781120358"/>
  </r>
  <r>
    <x v="5"/>
    <x v="0"/>
    <x v="5"/>
    <n v="6176.8206142119961"/>
  </r>
  <r>
    <x v="5"/>
    <x v="1"/>
    <x v="6"/>
    <n v="6102.8196998606963"/>
  </r>
  <r>
    <x v="5"/>
    <x v="1"/>
    <x v="7"/>
    <n v="4717.9740260215367"/>
  </r>
  <r>
    <x v="5"/>
    <x v="1"/>
    <x v="8"/>
    <n v="4134.4627445200867"/>
  </r>
  <r>
    <x v="5"/>
    <x v="1"/>
    <x v="9"/>
    <n v="3720.1121273291701"/>
  </r>
  <r>
    <x v="5"/>
    <x v="1"/>
    <x v="10"/>
    <n v="3893.1262067798889"/>
  </r>
  <r>
    <x v="5"/>
    <x v="1"/>
    <x v="11"/>
    <n v="3729.9879329165251"/>
  </r>
  <r>
    <x v="5"/>
    <x v="1"/>
    <x v="12"/>
    <n v="3190.6994347960836"/>
  </r>
  <r>
    <x v="5"/>
    <x v="1"/>
    <x v="13"/>
    <n v="3191.5524781200556"/>
  </r>
  <r>
    <x v="5"/>
    <x v="1"/>
    <x v="14"/>
    <n v="2939.333440469095"/>
  </r>
  <r>
    <x v="5"/>
    <x v="0"/>
    <x v="15"/>
    <n v="1577.3053302634728"/>
  </r>
  <r>
    <x v="5"/>
    <x v="1"/>
    <x v="16"/>
    <n v="1044.7844211356939"/>
  </r>
  <r>
    <x v="5"/>
    <x v="1"/>
    <x v="17"/>
    <n v="764.3391639463599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n v="12.186730007541485"/>
    <n v="8.9531954580124307E-2"/>
    <n v="-0.58908086941804072"/>
    <n v="14.05671801795647"/>
    <n v="6.509908553595352"/>
    <n v="3.1828773544109197"/>
    <n v="0.24721482494295821"/>
    <n v="5.6225624654209074"/>
    <x v="0"/>
    <n v="-0.31749527374950376"/>
  </r>
  <r>
    <x v="1"/>
    <n v="-4.3659478981797406"/>
    <n v="3.552561913987347"/>
    <n v="15.908346416517929"/>
    <n v="-1.0945294091362854"/>
    <n v="33.138034107568672"/>
    <n v="4.0063378150914133"/>
    <n v="0.6438334601250375"/>
    <n v="12.676556972172818"/>
    <x v="1"/>
    <n v="3.246141980612729"/>
  </r>
  <r>
    <x v="2"/>
    <n v="-17.078022532517252"/>
    <n v="17.15200954873022"/>
    <n v="0.97627869871797657"/>
    <n v="1.7312520583720641"/>
    <n v="8.7334468778138756"/>
    <n v="0.61942809882651773"/>
    <n v="0.31664439224952146"/>
    <n v="10.343410489053088"/>
    <x v="1"/>
    <n v="1.8281868143892548"/>
  </r>
  <r>
    <x v="3"/>
    <n v="-0.96024402168659151"/>
    <n v="-17.155268485348017"/>
    <n v="-1.9429752632650121"/>
    <n v="-5.6679610554785143"/>
    <n v="-1.0978789557493513"/>
    <n v="-4.7801126608390518"/>
    <n v="-0.27833424567700615"/>
    <n v="5.6081430887730273"/>
    <x v="0"/>
    <n v="0.72422398859486248"/>
  </r>
  <r>
    <x v="4"/>
    <n v="-22.855150006822399"/>
    <n v="20.696452546852797"/>
    <n v="-0.85614818901082401"/>
    <n v="2.8697669136538622"/>
    <n v="-12.824407772525305"/>
    <n v="0.61940509312709935"/>
    <n v="7.9753699566012415E-2"/>
    <n v="13.534510995224249"/>
    <x v="1"/>
    <n v="0.58674598983651027"/>
  </r>
  <r>
    <x v="5"/>
    <n v="-6.8841619131927416"/>
    <n v="10.643558100177387"/>
    <n v="-2.9100149217224782"/>
    <n v="11.638973186164222"/>
    <n v="-3.1392706034002771"/>
    <n v="4.6579291994335961"/>
    <n v="0.21572759243294604"/>
    <n v="7.1117604463955093"/>
    <x v="2"/>
    <n v="0.88317021600815426"/>
  </r>
  <r>
    <x v="6"/>
    <n v="16.256324460229351"/>
    <n v="0.57169202803105179"/>
    <n v="-13.525248522287583"/>
    <n v="-2.4457229863356957"/>
    <n v="4.7690498041480964"/>
    <n v="2.2972227553008935"/>
    <n v="-9.0697798713620381E-2"/>
    <n v="8.8606502162753671"/>
    <x v="3"/>
    <n v="-1.3178259902954075"/>
  </r>
  <r>
    <x v="7"/>
    <n v="-20.552078877344528"/>
    <n v="13.83864539722947"/>
    <n v="-3.3365132573366765"/>
    <n v="14.189488063916727"/>
    <n v="-5.093077816995347"/>
    <n v="9.096407981927058"/>
    <n v="0.30102799860458984"/>
    <n v="12.409693558616942"/>
    <x v="1"/>
    <n v="3.1135218849981965"/>
  </r>
  <r>
    <x v="8"/>
    <n v="-3.6638426908455415"/>
    <n v="2.647033289328931"/>
    <n v="2.8156967010076954"/>
    <n v="12.529587965617296"/>
    <n v="-4.8861838218777223"/>
    <n v="3.0178639240916283"/>
    <n v="0.16366695236342599"/>
    <n v="5.6635623954190715"/>
    <x v="0"/>
    <n v="0.58636494301929976"/>
  </r>
  <r>
    <x v="9"/>
    <n v="-7.7300878135355759"/>
    <n v="-1.021593540452912"/>
    <n v="12.981119238696152"/>
    <n v="6.8734193743928245"/>
    <n v="2.5707602921929436"/>
    <n v="0.58572452335565117"/>
    <n v="0.23303657212653772"/>
    <n v="6.4500000497320267"/>
    <x v="2"/>
    <n v="1.3213835233740108"/>
  </r>
  <r>
    <x v="10"/>
    <n v="-7.6831475025241929"/>
    <n v="3.2018820493306777"/>
    <n v="7.267923715440034"/>
    <n v="0.69788719048079884"/>
    <n v="3.6836985041168049"/>
    <n v="4.3537729882563951"/>
    <n v="0.20613657366405125"/>
    <n v="4.7079966373318634"/>
    <x v="0"/>
    <n v="1.5731432940943451"/>
  </r>
  <r>
    <x v="11"/>
    <n v="-4.2883749558579467"/>
    <n v="12.990791440895876"/>
    <n v="-2.1702500741427713"/>
    <n v="-1.2348339859541824"/>
    <n v="-0.79491745192856911"/>
    <n v="9.6584396247826305"/>
    <n v="0.18766450388172484"/>
    <n v="6.504887115311889"/>
    <x v="2"/>
    <n v="0.83749606608337546"/>
  </r>
  <r>
    <x v="12"/>
    <n v="-7.030531269212176"/>
    <n v="4.0562931485703899"/>
    <n v="-8.5767474915567732"/>
    <n v="14.869773412061903"/>
    <n v="-6.2043218657555599"/>
    <n v="9.1499474361650641"/>
    <n v="0.11876054425340143"/>
    <n v="8.9090526212327514"/>
    <x v="3"/>
    <n v="2.1019162682150578"/>
  </r>
  <r>
    <x v="13"/>
    <n v="0.79499963682879127"/>
    <n v="11.539966377946314"/>
    <n v="-10.850431962858821"/>
    <n v="14.471641082508356"/>
    <n v="1.826370509662496"/>
    <n v="5.9091393278838353"/>
    <n v="0.22755614383183964"/>
    <n v="8.2226045332497595"/>
    <x v="3"/>
    <n v="0.62148525416545553"/>
  </r>
  <r>
    <x v="14"/>
    <n v="-7.2632081110476463"/>
    <n v="18.245728687716081"/>
    <n v="3.5210514083542108"/>
    <n v="-4.8887417720534501"/>
    <n v="2.746381239540014"/>
    <n v="4.945382270264929"/>
    <n v="0.25538209982453486"/>
    <n v="8.2060762501736182"/>
    <x v="3"/>
    <n v="0.17528903947505756"/>
  </r>
  <r>
    <x v="15"/>
    <n v="-15.519898921575574"/>
    <n v="3.3666192721658206"/>
    <n v="-18.119794735164646"/>
    <n v="18.884011350314182"/>
    <n v="18.270230983513287"/>
    <n v="2.6226746308512219"/>
    <n v="0.22124123567646503"/>
    <n v="14.507240484756082"/>
    <x v="1"/>
    <n v="4.9265002566187199"/>
  </r>
  <r>
    <x v="16"/>
    <n v="0.36032467107764887"/>
    <n v="6.2518826014626256"/>
    <n v="2.4651502015622668"/>
    <n v="-1.8302054000441217"/>
    <n v="4.2434677873550868"/>
    <n v="6.2803174119076459"/>
    <n v="0.18411093065687312"/>
    <n v="2.9848931950438984"/>
    <x v="0"/>
    <n v="0.55083896172059943"/>
  </r>
  <r>
    <x v="17"/>
    <n v="-6.6429888426169867"/>
    <n v="-9.3427678148852067"/>
    <n v="8.3300697191907318"/>
    <n v="-3.0998965077658056"/>
    <n v="6.8020998642966219"/>
    <n v="-0.18846023487003549"/>
    <n v="1.4463126840948526E-2"/>
    <n v="6.5046243527035168"/>
    <x v="2"/>
    <n v="1.97935085283782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B887AF-96E3-428D-8CD5-7EEDD465B7A7}" name="Tabela dinâmica1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3:F23" firstHeaderRow="1" firstDataRow="2" firstDataCol="1"/>
  <pivotFields count="4"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umFmtId="4" showAll="0"/>
    <pivotField numFmtId="4" showAll="0"/>
    <pivotField axis="axisCol" showAll="0">
      <items count="5">
        <item x="2"/>
        <item x="3"/>
        <item x="0"/>
        <item x="1"/>
        <item t="default"/>
      </items>
    </pivotField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EDA7E-0CF4-422C-B251-F4132B205462}" name="Concentração do PIB (2025)" cacheId="1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7" indent="0" outline="1" outlineData="1" multipleFieldFilters="0" chartFormat="4" rowHeaderCaption="Províncias">
  <location ref="A35:B53" firstHeaderRow="1" firstDataRow="1" firstDataCol="1" rowPageCount="1" colPageCount="1"/>
  <pivotFields count="4">
    <pivotField axis="axisPage" multipleItemSelectionAllowed="1" showAll="0">
      <items count="7">
        <item h="1" x="0"/>
        <item h="1" x="1"/>
        <item h="1" x="2"/>
        <item h="1" x="3"/>
        <item h="1" x="4"/>
        <item x="5"/>
        <item t="default"/>
      </items>
    </pivotField>
    <pivotField showAll="0"/>
    <pivotField axis="axisRow" showAll="0" sortType="descending">
      <items count="19">
        <item x="14"/>
        <item x="2"/>
        <item x="10"/>
        <item x="4"/>
        <item x="17"/>
        <item x="12"/>
        <item x="5"/>
        <item x="16"/>
        <item x="7"/>
        <item x="8"/>
        <item x="0"/>
        <item x="13"/>
        <item x="9"/>
        <item x="6"/>
        <item x="11"/>
        <item x="15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" showAll="0"/>
  </pivotFields>
  <rowFields count="1">
    <field x="2"/>
  </rowFields>
  <rowItems count="18">
    <i>
      <x v="10"/>
    </i>
    <i>
      <x v="17"/>
    </i>
    <i>
      <x v="1"/>
    </i>
    <i>
      <x v="16"/>
    </i>
    <i>
      <x v="6"/>
    </i>
    <i>
      <x v="13"/>
    </i>
    <i>
      <x v="3"/>
    </i>
    <i>
      <x v="8"/>
    </i>
    <i>
      <x v="9"/>
    </i>
    <i>
      <x v="2"/>
    </i>
    <i>
      <x v="14"/>
    </i>
    <i>
      <x v="12"/>
    </i>
    <i>
      <x v="11"/>
    </i>
    <i>
      <x v="5"/>
    </i>
    <i>
      <x/>
    </i>
    <i>
      <x v="15"/>
    </i>
    <i>
      <x v="7"/>
    </i>
    <i>
      <x v="4"/>
    </i>
  </rowItems>
  <colItems count="1">
    <i/>
  </colItems>
  <pageFields count="1">
    <pageField fld="0" hier="-1"/>
  </pageFields>
  <dataFields count="1">
    <dataField name="PIB (2025)" fld="3" baseField="2" baseItem="0" numFmtId="169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3">
    <format dxfId="13">
      <pivotArea outline="0" fieldPosition="0">
        <references count="1">
          <reference field="4294967294" count="1">
            <x v="0"/>
          </reference>
        </references>
      </pivotArea>
    </format>
    <format dxfId="12">
      <pivotArea outline="0" collapsedLevelsAreSubtotals="1" fieldPosition="0"/>
    </format>
    <format dxfId="11">
      <pivotArea collapsedLevelsAreSubtotals="1" fieldPosition="0">
        <references count="1">
          <reference field="2" count="0"/>
        </references>
      </pivotArea>
    </format>
  </formats>
  <chartFormats count="1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DE2678-2369-4B5C-90B1-F624FC74888B}" name="PIB Nacional (2025)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Províncias">
  <location ref="A19:B30" firstHeaderRow="1" firstDataRow="1" firstDataCol="1" rowPageCount="1" colPageCount="1"/>
  <pivotFields count="4">
    <pivotField axis="axisPage" multipleItemSelectionAllowed="1" showAll="0">
      <items count="7">
        <item h="1" x="0"/>
        <item h="1" x="1"/>
        <item h="1" x="2"/>
        <item h="1" x="3"/>
        <item h="1" x="4"/>
        <item x="5"/>
        <item t="default"/>
      </items>
    </pivotField>
    <pivotField showAll="0"/>
    <pivotField axis="axisRow" showAll="0" measureFilter="1" sortType="ascending">
      <items count="19">
        <item x="14"/>
        <item x="2"/>
        <item x="10"/>
        <item x="4"/>
        <item x="17"/>
        <item x="12"/>
        <item x="5"/>
        <item x="16"/>
        <item x="7"/>
        <item x="8"/>
        <item x="0"/>
        <item x="13"/>
        <item x="9"/>
        <item x="6"/>
        <item x="11"/>
        <item x="15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" showAll="0"/>
  </pivotFields>
  <rowFields count="1">
    <field x="2"/>
  </rowFields>
  <rowItems count="11">
    <i>
      <x v="2"/>
    </i>
    <i>
      <x v="9"/>
    </i>
    <i>
      <x v="8"/>
    </i>
    <i>
      <x v="3"/>
    </i>
    <i>
      <x v="13"/>
    </i>
    <i>
      <x v="6"/>
    </i>
    <i>
      <x v="16"/>
    </i>
    <i>
      <x v="1"/>
    </i>
    <i>
      <x v="17"/>
    </i>
    <i>
      <x v="10"/>
    </i>
    <i t="grand">
      <x/>
    </i>
  </rowItems>
  <colItems count="1">
    <i/>
  </colItems>
  <pageFields count="1">
    <pageField fld="0" hier="-1"/>
  </pageFields>
  <dataFields count="1">
    <dataField name="PIB (2025)" fld="3" baseField="0" baseItem="0" numFmtId="170"/>
  </dataFields>
  <formats count="1">
    <format dxfId="14">
      <pivotArea outline="0" collapsedLevelsAreSubtotals="1" fieldPosition="0"/>
    </format>
  </format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AF7D5-7074-4F62-AC5A-221E6DB6EEB3}" name="Tabela dinâmica3" cacheId="2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7" indent="0" outline="1" outlineData="1" multipleFieldFilters="0" chartFormat="4" rowHeaderCaption="Províncias" colHeaderCaption="Classificação">
  <location ref="J19:L29" firstHeaderRow="1" firstDataRow="2" firstDataCol="1"/>
  <pivotFields count="11"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dataField="1" numFmtId="4" showAll="0"/>
    <pivotField axis="axisCol" showAll="0">
      <items count="7">
        <item x="2"/>
        <item h="1" m="1" x="5"/>
        <item x="0"/>
        <item h="1" m="1" x="4"/>
        <item h="1" x="1"/>
        <item h="1" x="3"/>
        <item t="default"/>
      </items>
    </pivotField>
    <pivotField numFmtId="4" showAll="0"/>
  </pivotFields>
  <rowFields count="1">
    <field x="0"/>
  </rowFields>
  <rowItems count="9">
    <i>
      <x/>
    </i>
    <i>
      <x v="3"/>
    </i>
    <i>
      <x v="5"/>
    </i>
    <i>
      <x v="8"/>
    </i>
    <i>
      <x v="9"/>
    </i>
    <i>
      <x v="10"/>
    </i>
    <i>
      <x v="11"/>
    </i>
    <i>
      <x v="16"/>
    </i>
    <i>
      <x v="17"/>
    </i>
  </rowItems>
  <colFields count="1">
    <field x="9"/>
  </colFields>
  <colItems count="2">
    <i>
      <x/>
    </i>
    <i>
      <x v="2"/>
    </i>
  </colItems>
  <dataFields count="1">
    <dataField name="Desvio Padrão " fld="8" baseField="0" baseItem="0" numFmtId="4"/>
  </dataFields>
  <formats count="3">
    <format dxfId="17">
      <pivotArea outline="0" collapsedLevelsAreSubtotals="1" fieldPosition="0"/>
    </format>
    <format dxfId="16">
      <pivotArea field="9" type="button" dataOnly="0" labelOnly="1" outline="0" axis="axisCol" fieldPosition="0"/>
    </format>
    <format dxfId="15">
      <pivotArea type="topRight" dataOnly="0" labelOnly="1" outline="0" fieldPosition="0"/>
    </format>
  </formats>
  <chartFormats count="2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9ED6C0-8F91-43D8-B9D9-AF82EA22719C}" name="Tabela dinâmica13" cacheId="2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7" indent="0" outline="1" outlineData="1" multipleFieldFilters="0" chartFormat="12" rowHeaderCaption="Províncias">
  <location ref="G19:H29" firstHeaderRow="1" firstDataRow="1" firstDataCol="1"/>
  <pivotFields count="11">
    <pivotField axis="axisRow" showAll="0" measureFilter="1" sortType="descending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" showAll="0"/>
    <pivotField numFmtId="4" showAll="0"/>
    <pivotField numFmtId="4" showAll="0"/>
    <pivotField numFmtId="4" showAll="0"/>
    <pivotField numFmtId="4" showAll="0"/>
    <pivotField numFmtId="4" showAll="0"/>
    <pivotField dataField="1" numFmtId="4" showAll="0"/>
    <pivotField numFmtId="4" showAll="0"/>
    <pivotField showAll="0"/>
    <pivotField numFmtId="4" showAll="0"/>
  </pivotFields>
  <rowFields count="1">
    <field x="0"/>
  </rowFields>
  <rowItems count="10">
    <i>
      <x v="1"/>
    </i>
    <i>
      <x v="2"/>
    </i>
    <i>
      <x v="7"/>
    </i>
    <i>
      <x v="14"/>
    </i>
    <i>
      <x/>
    </i>
    <i>
      <x v="9"/>
    </i>
    <i>
      <x v="13"/>
    </i>
    <i>
      <x v="15"/>
    </i>
    <i>
      <x v="5"/>
    </i>
    <i>
      <x v="10"/>
    </i>
  </rowItems>
  <colItems count="1">
    <i/>
  </colItems>
  <dataFields count="1">
    <dataField name="Taxa de Crescimento" fld="7" baseField="0" baseItem="0" numFmtId="169"/>
  </dataFields>
  <formats count="1">
    <format dxfId="18">
      <pivotArea outline="0" collapsedLevelsAreSubtotals="1" fieldPosition="0"/>
    </format>
  </formats>
  <chartFormats count="2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757523-6E2E-453E-BF26-52EC96112693}" name="Tabela dinâmica15" cacheId="1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7" indent="0" outline="1" outlineData="1" multipleFieldFilters="0" chartFormat="4" rowHeaderCaption="Províncias">
  <location ref="D37:E39" firstHeaderRow="1" firstDataRow="1" firstDataCol="1" rowPageCount="1" colPageCount="1"/>
  <pivotFields count="4">
    <pivotField axis="axisPage" multipleItemSelectionAllowed="1" showAll="0">
      <items count="7">
        <item h="1" x="0"/>
        <item h="1" x="1"/>
        <item h="1" x="2"/>
        <item h="1" x="3"/>
        <item h="1" x="4"/>
        <item x="5"/>
        <item t="default"/>
      </items>
    </pivotField>
    <pivotField axis="axisRow" showAll="0">
      <items count="3">
        <item x="1"/>
        <item x="0"/>
        <item t="default"/>
      </items>
    </pivotField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" showAll="0"/>
  </pivotFields>
  <rowFields count="1">
    <field x="1"/>
  </rowFields>
  <rowItems count="2">
    <i>
      <x/>
    </i>
    <i>
      <x v="1"/>
    </i>
  </rowItems>
  <colItems count="1">
    <i/>
  </colItems>
  <pageFields count="1">
    <pageField fld="0" hier="-1"/>
  </pageFields>
  <dataFields count="1">
    <dataField name="PIB (2025)" fld="3" showDataAs="percentOfTotal" baseField="0" baseItem="0" numFmtId="169"/>
  </dataFields>
  <formats count="2">
    <format dxfId="20">
      <pivotArea outline="0" fieldPosition="0">
        <references count="1">
          <reference field="4294967294" count="1">
            <x v="0"/>
          </reference>
        </references>
      </pivotArea>
    </format>
    <format dxfId="19">
      <pivotArea outline="0" collapsedLevelsAreSubtotals="1" fieldPosition="0"/>
    </format>
  </formats>
  <chartFormats count="4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15A289F-DECB-4AE9-ACF4-866FC29AC5BB}" name="Quadro_3" displayName="Quadro_3" ref="G4:I112" totalsRowShown="0">
  <autoFilter ref="G4:I112" xr:uid="{015A289F-DECB-4AE9-ACF4-866FC29AC5BB}"/>
  <tableColumns count="3">
    <tableColumn id="1" xr3:uid="{E6B5E714-6DF7-43E3-B0D4-3E6FFC943E55}" name="Ano" dataDxfId="59"/>
    <tableColumn id="2" xr3:uid="{7B442ACE-F146-4E62-9477-A906C7754364}" name="Províncias"/>
    <tableColumn id="3" xr3:uid="{AC55E060-AC7C-4DEC-8039-39D3415A6D54}" name="Preços do ano anterior" dataDxfId="5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D216924-9C2F-45E5-9D08-6471B677BB61}" name="Quadro_5" displayName="Quadro_5" ref="O4:Q22" totalsRowShown="0">
  <autoFilter ref="O4:Q22" xr:uid="{BD216924-9C2F-45E5-9D08-6471B677BB61}"/>
  <tableColumns count="3">
    <tableColumn id="1" xr3:uid="{11C11A78-37EF-4160-B7EE-B8B2099FD00F}" name="Ano"/>
    <tableColumn id="2" xr3:uid="{3487B149-92D7-478D-A88F-920D5D5E97A3}" name="Províncias"/>
    <tableColumn id="3" xr3:uid="{1AB9DD64-34A2-4D8F-8AEA-C322D0A5DDBF}" name="PIB per Capita" dataDxfId="5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6B9D99B-6DC8-40FD-AD1E-F52E15FACB13}" name="Quadro_8" displayName="Quadro_8" ref="AA4:AC112" totalsRowShown="0">
  <autoFilter ref="AA4:AC112" xr:uid="{46B9D99B-6DC8-40FD-AD1E-F52E15FACB13}"/>
  <tableColumns count="3">
    <tableColumn id="1" xr3:uid="{13959BFB-16C5-48BC-BD4F-31210C837E79}" name="Ano"/>
    <tableColumn id="2" xr3:uid="{ADDA7342-FF11-4C95-B48B-5454DC415949}" name="Províncias"/>
    <tableColumn id="3" xr3:uid="{CF51EB59-D9FF-44E0-A2C8-C1AB59B20AF7}" name="variação Percentual dp Volume" dataDxfId="5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B375E68-2443-4101-BB87-3B185DDD1C31}" name="Quadro_1" displayName="Quadro_1" ref="B4:E112" totalsRowShown="0">
  <autoFilter ref="B4:E112" xr:uid="{FB375E68-2443-4101-BB87-3B185DDD1C31}"/>
  <tableColumns count="4">
    <tableColumn id="1" xr3:uid="{08B00354-9AE0-4F78-8580-A15A6897B50C}" name="Ano" dataDxfId="55"/>
    <tableColumn id="2" xr3:uid="{122D04B1-FD2F-4E6F-8CE2-09245F9753EF}" name="Coluna1"/>
    <tableColumn id="4" xr3:uid="{52C0230F-3590-457D-85D7-8592958D3D9B}" name="Províncias"/>
    <tableColumn id="5" xr3:uid="{E5B8C824-A9DD-4E00-85F5-60F083141FA0}" name="PIB" dataDxfId="5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1A1B0BE-ACE9-4DE3-ABAE-0FDDDEB0E9A2}" name="Quadro_4" displayName="Quadro_4" ref="K4:M112" totalsRowShown="0">
  <autoFilter ref="K4:M112" xr:uid="{81A1B0BE-ACE9-4DE3-ABAE-0FDDDEB0E9A2}"/>
  <tableColumns count="3">
    <tableColumn id="1" xr3:uid="{CBA4DA64-DCD9-448D-9E65-46BBAA1B3B7B}" name="Ano" dataDxfId="53"/>
    <tableColumn id="2" xr3:uid="{0F87C47F-F063-476D-9271-9A5943B6FDAA}" name="Províncias"/>
    <tableColumn id="3" xr3:uid="{F16502B3-E0A0-4D96-973D-2790C0D26974}" name="Valores percentuais do preço" dataDxfId="5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8F3FBA5-4A6A-438B-899B-C60F33018F20}" name="Tabela25" displayName="Tabela25" ref="AE6:AH24" totalsRowShown="0">
  <autoFilter ref="AE6:AH24" xr:uid="{88F3FBA5-4A6A-438B-899B-C60F33018F20}"/>
  <tableColumns count="4">
    <tableColumn id="1" xr3:uid="{6080B89B-371E-40B4-BD75-82B41E29C3B5}" name="Províncias"/>
    <tableColumn id="2" xr3:uid="{3065FE2A-C492-48CD-969A-DBFBB78AA7A4}" name="Média do preço (%)" dataDxfId="51">
      <calculatedColumnFormula>AVERAGEIF(Quadro_4[Províncias],AE7, Quadro_4[Valores percentuais do preço])</calculatedColumnFormula>
    </tableColumn>
    <tableColumn id="3" xr3:uid="{EF6417F9-D717-415C-A3CB-D18759199A79}" name="Média do Volume (%)" dataDxfId="50">
      <calculatedColumnFormula>AVERAGEIF(Quadro_8[Províncias], AE7, Quadro_8[variação Percentual dp Volume])</calculatedColumnFormula>
    </tableColumn>
    <tableColumn id="5" xr3:uid="{1DA95A19-984E-4D39-B7F8-D5061E0BC28B}" name="Classificação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ED23050-3CE8-42D7-81B2-C97522084EC6}" name="Quadro_6" displayName="Quadro_6" ref="S4:Y112" totalsRowShown="0" headerRowDxfId="49">
  <autoFilter ref="S4:Y112" xr:uid="{9ED23050-3CE8-42D7-81B2-C97522084EC6}"/>
  <tableColumns count="7">
    <tableColumn id="1" xr3:uid="{DF983A63-F397-436D-B086-840F4B75B424}" name="Ano" dataDxfId="48"/>
    <tableColumn id="2" xr3:uid="{691751A5-1664-4075-92A2-3B78B285E022}" name="Províncias"/>
    <tableColumn id="3" xr3:uid="{D6044DC5-34C8-46CB-9AB1-8CECDF6DB047}" name="Agropecuária" dataDxfId="47"/>
    <tableColumn id="4" xr3:uid="{4DD37DAD-7043-4697-9EFD-42BF539D7457}" name="Indústria" dataDxfId="46"/>
    <tableColumn id="5" xr3:uid="{9D6AEC15-6AB2-48E0-812A-16E69599066D}" name="Serviços" dataDxfId="45"/>
    <tableColumn id="6" xr3:uid="{BFDC5516-25F2-41DF-A33C-013E1864BCE3}" name="Impostos sobre os Produtos" dataDxfId="44"/>
    <tableColumn id="7" xr3:uid="{2AAD2199-045F-4B4E-8BDB-EF8D7AD065BD}" name="Produto Interno Bruto" dataDxfId="4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A049E30-C74E-451F-83D7-8756A75641AC}" name="Tabela11" displayName="Tabela11" ref="AJ7:AL25" totalsRowShown="0">
  <autoFilter ref="AJ7:AL25" xr:uid="{DA049E30-C74E-451F-83D7-8756A75641AC}"/>
  <tableColumns count="3">
    <tableColumn id="1" xr3:uid="{61F5FB22-9ADC-46A0-B42F-0DD553E6BD1C}" name="Província"/>
    <tableColumn id="2" xr3:uid="{BE99ED54-8E5C-4DFB-8DA4-4A04217F55FE}" name="PIB 2024" dataDxfId="42"/>
    <tableColumn id="3" xr3:uid="{A1B42514-1C6C-4D23-B5D3-8EB56FC8D62C}" name="Crescimento 2025" dataDxfId="4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6950EF2-116D-4209-8CFD-B740C02C1812}" name="Quadro8" displayName="Quadro8" ref="AN6:AX24" totalsRowShown="0" headerRowDxfId="40" dataDxfId="38" headerRowBorderDxfId="39" tableBorderDxfId="37">
  <autoFilter ref="AN6:AX24" xr:uid="{26950EF2-116D-4209-8CFD-B740C02C1812}"/>
  <tableColumns count="11">
    <tableColumn id="1" xr3:uid="{B369639E-DA7F-4747-A0DF-37E6F2EFC64C}" name="Províncias" dataDxfId="36"/>
    <tableColumn id="6" xr3:uid="{5271A072-B52B-4B02-8974-89F26C2D7312}" name="2020" dataDxfId="35"/>
    <tableColumn id="7" xr3:uid="{DDFD601D-0B50-4DA4-BD5A-E80F4B7795FF}" name="2021" dataDxfId="34"/>
    <tableColumn id="8" xr3:uid="{FAF22DE0-5ECC-456A-8F15-AA2832BB7F07}" name="2022" dataDxfId="33"/>
    <tableColumn id="9" xr3:uid="{3AF7F45A-07F6-4091-87DC-A804D3F9A8F5}" name="2023" dataDxfId="32"/>
    <tableColumn id="10" xr3:uid="{953ECC0C-78D4-4F65-BFB3-A7CBE5E7A1A7}" name="2024" dataDxfId="31"/>
    <tableColumn id="11" xr3:uid="{4FB7274D-DA7D-4C0C-A01F-EC087B51DECE}" name="2025" dataDxfId="30"/>
    <tableColumn id="13" xr3:uid="{6A2F392E-DD96-49DC-93FB-BA64D8774F72}" name="Crescimento" dataDxfId="29">
      <calculatedColumnFormula>(1+Quadro8[[#This Row],[2021]]/100)*(1+Quadro8[[#This Row],[2022]]/100)*(1+Quadro8[[#This Row],[2023]]/100)*(1+Quadro8[[#This Row],[2024]]/100)*(1+Quadro8[[#This Row],[2025]]/100)-1</calculatedColumnFormula>
    </tableColumn>
    <tableColumn id="14" xr3:uid="{AA04E8C4-9C5E-4161-8F05-466F7AFD2206}" name="Desvio Padrão" dataDxfId="28">
      <calculatedColumnFormula>_xlfn.STDEV.P(Quadro8[[#This Row],[2020]:[2025]])</calculatedColumnFormula>
    </tableColumn>
    <tableColumn id="15" xr3:uid="{61D1D0D7-6457-4F96-8ED2-8D150B96A755}" name="Classificação" dataDxfId="27">
      <calculatedColumnFormula>IF(Quadro8[[#This Row],[Desvio Padrão]]&lt;=5.86, "Muito Consistente", IF(AND(AV7&gt;5.86, AV7&lt;=7.66), "Consistente", IF(AND(AV7&gt;7.66, AV7&lt;=9.98), "Instável", "Muito instável")))</calculatedColumnFormula>
    </tableColumn>
    <tableColumn id="16" xr3:uid="{44E1BE00-FD6B-4663-AF94-2B0E5535D498}" name="Dinamismo" dataDxfId="26">
      <calculatedColumnFormula>SLOPE(Quadro8[[#This Row],[2020]:[2025]], Modelagem!$AN$4:$AS$4)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15D209-F2D0-4B4B-8548-8A02DDEDE4F8}" name="Tabela27" displayName="Tabela27" ref="AS33:AW51" totalsRowShown="0" dataDxfId="25" dataCellStyle="Porcentagem">
  <autoFilter ref="AS33:AW51" xr:uid="{3188F92B-D8CF-4392-AC47-62BB1321163A}"/>
  <tableColumns count="5">
    <tableColumn id="1" xr3:uid="{98DAD97C-199D-4E56-8DEB-395B041C87B6}" name="Províncias"/>
    <tableColumn id="2" xr3:uid="{864F9F81-9EE0-4D54-A1CC-8273BA49CDAB}" name="   Agropecuária" dataDxfId="24" dataCellStyle="Porcentagem">
      <calculatedColumnFormula>[1]Planilha4!B80/[1]Planilha4!F80</calculatedColumnFormula>
    </tableColumn>
    <tableColumn id="3" xr3:uid="{CD40D612-CD8A-4B2A-A58A-07C95E982C62}" name="   Indústria" dataDxfId="23" dataCellStyle="Porcentagem">
      <calculatedColumnFormula>[1]Planilha4!C80/[1]Planilha4!F80</calculatedColumnFormula>
    </tableColumn>
    <tableColumn id="4" xr3:uid="{A80143BC-1CAB-4426-8DB2-9A387AF5BFF3}" name="   Serviços" dataDxfId="22" dataCellStyle="Porcentagem">
      <calculatedColumnFormula>[1]Planilha4!D80/[1]Planilha4!F80</calculatedColumnFormula>
    </tableColumn>
    <tableColumn id="5" xr3:uid="{2D205A72-3267-4336-A2EC-7C7758A59E42}" name="   Impostos sobre os Produtos" dataDxfId="21" dataCellStyle="Porcentagem">
      <calculatedColumnFormula>[1]Planilha4!E80/[1]Planilha4!F80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EE7905-E5BC-4169-88E4-6DC822BD2A42}" name="Peso_provincias" displayName="Peso_provincias" ref="D19:E29" totalsRowShown="0">
  <autoFilter ref="D19:E29" xr:uid="{2AEE7905-E5BC-4169-88E4-6DC822BD2A42}"/>
  <sortState xmlns:xlrd2="http://schemas.microsoft.com/office/spreadsheetml/2017/richdata2" ref="D20:E29">
    <sortCondition descending="1" ref="E23:E29"/>
  </sortState>
  <tableColumns count="2">
    <tableColumn id="1" xr3:uid="{9A08B45C-EEFF-4A22-A44E-1FAB930C447E}" name="10 Maiores Províncias"/>
    <tableColumn id="2" xr3:uid="{963FAB38-4886-4572-88AD-5E875AF5F423}" name="Peso %" dataDxfId="10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654E483-71B5-4D76-BE2C-4CCB663E8071}" name="Tabela10" displayName="Tabela10" ref="G32:H42" totalsRowShown="0" headerRowDxfId="9">
  <autoFilter ref="G32:H42" xr:uid="{7654E483-71B5-4D76-BE2C-4CCB663E8071}"/>
  <tableColumns count="2">
    <tableColumn id="1" xr3:uid="{03AACB14-A7FA-49B9-956A-6449E2E41711}" name="Província" dataDxfId="8"/>
    <tableColumn id="2" xr3:uid="{86E3DC59-FED8-48B0-B46E-BC97C1D72158}" name="Dinamismo do Crescimento" dataDxfId="7">
      <calculatedColumnFormula>_xlfn.XLOOKUP(Tabela10[[#This Row],[Província]], Quadro8[Províncias], Quadro8[Dinamismo])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B467EF-1CA2-42E9-8F0F-BBAF8587591F}" name="Tabela93" displayName="Tabela93" ref="J32:M42" totalsRowShown="0">
  <autoFilter ref="J32:M42" xr:uid="{632A8AD9-BE6F-432D-AAF3-D8659282F247}"/>
  <tableColumns count="4">
    <tableColumn id="1" xr3:uid="{75400B97-0C90-4BA0-AB4A-796E46A8A77E}" name="Provincias "/>
    <tableColumn id="2" xr3:uid="{3BB77994-654D-4FC5-A475-261BC9858928}" name="   Agropecuária"/>
    <tableColumn id="3" xr3:uid="{13E35C07-094E-425E-A48E-A421D9A86ADF}" name="   Serviços" dataDxfId="6"/>
    <tableColumn id="4" xr3:uid="{452BAB78-520F-41DB-873B-8329E2106C56}" name="   Produto Interno Bruto" dataDxfId="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7F448B6-B3D7-4BFE-AFB8-9C8840CC54B1}" name="Tabela6" displayName="Tabela6" ref="O19:T37" totalsRowShown="0">
  <autoFilter ref="O19:T37" xr:uid="{D7F448B6-B3D7-4BFE-AFB8-9C8840CC54B1}"/>
  <tableColumns count="6">
    <tableColumn id="1" xr3:uid="{022AC10E-9424-48C9-A3D2-765B13220F6C}" name="Províncias"/>
    <tableColumn id="2" xr3:uid="{0423DE3E-DE09-47BB-8015-69CD89CD6AE7}" name="Agropecuária " dataDxfId="4"/>
    <tableColumn id="3" xr3:uid="{2C60B30B-DB9B-41FE-A4AB-009F8ACC85E1}" name="Indústria " dataDxfId="3"/>
    <tableColumn id="4" xr3:uid="{055B148C-FE97-47A6-AF62-393783EA9162}" name="Serviços " dataDxfId="2"/>
    <tableColumn id="5" xr3:uid="{A11E9426-FB42-4E2F-9569-6446A715F42B}" name="Impostos sobre os Produtos " dataDxfId="1"/>
    <tableColumn id="6" xr3:uid="{396772EC-25B9-40BA-A701-8DEF958424E9}" name="Produto Interno Bruto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.xml"/><Relationship Id="rId3" Type="http://schemas.openxmlformats.org/officeDocument/2006/relationships/pivotTable" Target="../pivotTables/pivotTable4.xml"/><Relationship Id="rId7" Type="http://schemas.openxmlformats.org/officeDocument/2006/relationships/table" Target="../tables/table1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rinterSettings" Target="../printerSettings/printerSettings11.bin"/><Relationship Id="rId5" Type="http://schemas.openxmlformats.org/officeDocument/2006/relationships/pivotTable" Target="../pivotTables/pivotTable6.xml"/><Relationship Id="rId10" Type="http://schemas.openxmlformats.org/officeDocument/2006/relationships/table" Target="../tables/table14.xml"/><Relationship Id="rId4" Type="http://schemas.openxmlformats.org/officeDocument/2006/relationships/pivotTable" Target="../pivotTables/pivotTable5.xml"/><Relationship Id="rId9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B7FFD-F78B-4CB2-BD81-F27739537632}">
  <sheetPr>
    <tabColor theme="8" tint="0.39997558519241921"/>
  </sheetPr>
  <dimension ref="B5:J21"/>
  <sheetViews>
    <sheetView showGridLines="0" workbookViewId="0">
      <selection activeCell="C21" sqref="C21"/>
    </sheetView>
  </sheetViews>
  <sheetFormatPr defaultRowHeight="15" x14ac:dyDescent="0.25"/>
  <cols>
    <col min="1" max="1" width="14.140625" customWidth="1"/>
    <col min="2" max="2" width="5" customWidth="1"/>
    <col min="3" max="3" width="114.42578125" customWidth="1"/>
  </cols>
  <sheetData>
    <row r="5" spans="2:8" x14ac:dyDescent="0.25">
      <c r="C5" s="19" t="s">
        <v>33</v>
      </c>
    </row>
    <row r="6" spans="2:8" x14ac:dyDescent="0.25">
      <c r="C6" s="22" t="s">
        <v>34</v>
      </c>
    </row>
    <row r="7" spans="2:8" x14ac:dyDescent="0.25">
      <c r="C7" s="22" t="s">
        <v>35</v>
      </c>
    </row>
    <row r="9" spans="2:8" x14ac:dyDescent="0.25">
      <c r="E9" s="19"/>
    </row>
    <row r="10" spans="2:8" x14ac:dyDescent="0.25">
      <c r="D10" s="21"/>
      <c r="E10" s="21"/>
      <c r="F10" s="21"/>
      <c r="G10" s="21"/>
    </row>
    <row r="11" spans="2:8" x14ac:dyDescent="0.25">
      <c r="B11" s="20"/>
      <c r="D11" s="21"/>
      <c r="E11" s="21"/>
      <c r="F11" s="21"/>
      <c r="G11" s="21"/>
      <c r="H11" s="21"/>
    </row>
    <row r="12" spans="2:8" ht="15.75" thickBot="1" x14ac:dyDescent="0.3">
      <c r="B12" s="23"/>
      <c r="C12" s="23"/>
    </row>
    <row r="13" spans="2:8" x14ac:dyDescent="0.25">
      <c r="B13" s="136" t="s">
        <v>44</v>
      </c>
      <c r="C13" s="137"/>
    </row>
    <row r="14" spans="2:8" x14ac:dyDescent="0.25">
      <c r="B14" s="26" t="s">
        <v>36</v>
      </c>
      <c r="C14" s="25" t="str">
        <f>+'Q1'!A2</f>
        <v>Quadro 1- Produto Interno Bruto (PIB) por Províncias, a preços correntes em mill milhões de Kwanzas: 2015 - 2025</v>
      </c>
    </row>
    <row r="15" spans="2:8" x14ac:dyDescent="0.25">
      <c r="B15" s="26" t="s">
        <v>37</v>
      </c>
      <c r="C15" s="25" t="str">
        <f>+'Q2'!A1</f>
        <v>Quadro 2 - Estrutura Percentual do PIB por província: 2015 – 2025*</v>
      </c>
    </row>
    <row r="16" spans="2:8" x14ac:dyDescent="0.25">
      <c r="B16" s="26" t="s">
        <v>38</v>
      </c>
      <c r="C16" s="25" t="str">
        <f>+'Q3'!A2</f>
        <v>Quadro 3- Produto Interno Bruto (PIB) por Províncias a preços do ano anterior em mil milhões de Kwanzas: 2015 - 2025</v>
      </c>
    </row>
    <row r="17" spans="2:10" x14ac:dyDescent="0.25">
      <c r="B17" s="26" t="s">
        <v>39</v>
      </c>
      <c r="C17" s="25" t="str">
        <f>+'Q4'!A2</f>
        <v>Quadro 4- PIB por província, variações percentuais de preços  2015 - 2025*</v>
      </c>
    </row>
    <row r="18" spans="2:10" x14ac:dyDescent="0.25">
      <c r="B18" s="26" t="s">
        <v>40</v>
      </c>
      <c r="C18" s="25" t="str">
        <f>+'Q5'!A1</f>
        <v>Quadro 5-  Produto Interno Bruto (PIB) per Capita  por  Províncias, a preços correntes em milhares de Kwanzas: 2015 - 2025*</v>
      </c>
    </row>
    <row r="19" spans="2:10" x14ac:dyDescent="0.25">
      <c r="B19" s="26" t="s">
        <v>41</v>
      </c>
      <c r="C19" s="25" t="s">
        <v>29</v>
      </c>
      <c r="D19" s="73"/>
      <c r="E19" s="73"/>
      <c r="F19" s="73"/>
      <c r="G19" s="73"/>
      <c r="H19" s="73"/>
      <c r="I19" s="73"/>
      <c r="J19" s="73"/>
    </row>
    <row r="20" spans="2:10" x14ac:dyDescent="0.25">
      <c r="B20" s="26" t="s">
        <v>42</v>
      </c>
      <c r="C20" s="25" t="str">
        <f>+'Q7'!A2</f>
        <v>Quadro 7- Participação dos principais sectores de actividades no VAB por província em 2025* (%)</v>
      </c>
    </row>
    <row r="21" spans="2:10" ht="15.75" thickBot="1" x14ac:dyDescent="0.3">
      <c r="B21" s="24" t="s">
        <v>43</v>
      </c>
      <c r="C21" s="27" t="str">
        <f>+'Q8'!A2</f>
        <v>Quadro 8 - PIB por província, variações percentuais de  volume 2015 - 2025*</v>
      </c>
    </row>
  </sheetData>
  <mergeCells count="1">
    <mergeCell ref="B13:C13"/>
  </mergeCells>
  <phoneticPr fontId="23" type="noConversion"/>
  <hyperlinks>
    <hyperlink ref="B14" location="'Q1'!A1" display="Q1" xr:uid="{06D84254-7EBF-4FE0-96C8-C76550D6604A}"/>
    <hyperlink ref="B15:B21" location="'Q1'!A1" display="Q1" xr:uid="{89B9A5A7-1F94-48AD-B5D0-28904680B8BA}"/>
    <hyperlink ref="B15" location="'Q2'!A1" display="Q2" xr:uid="{3A6BA1CA-780A-4866-8387-C66DF292CCA0}"/>
    <hyperlink ref="B16" location="'Q3'!A1" display="Q3" xr:uid="{4BEED065-F9CD-4CC6-8A31-61F9F6959E2B}"/>
    <hyperlink ref="B17" location="'Q4'!A1" display="Q4" xr:uid="{8CF25798-9264-4947-B676-73A8113291E0}"/>
    <hyperlink ref="B18" location="'Q5'!A1" display="Q5" xr:uid="{F4103220-4F86-4784-8CCC-50CB5A3439CF}"/>
    <hyperlink ref="B19" location="'Q6'!A1" display="Q6" xr:uid="{020E7B0D-ED1D-4B47-AEB4-C3B19E2275B6}"/>
    <hyperlink ref="B20" location="'Q7'!A1" display="Q7" xr:uid="{1EF259F6-F424-4FD8-8994-B1306C917FFB}"/>
    <hyperlink ref="B21" location="'Q8'!A1" display="Q8" xr:uid="{552DAAE0-4781-4ED3-9716-5AC6FC96D781}"/>
  </hyperlinks>
  <pageMargins left="0.511811024" right="0.511811024" top="0.78740157499999996" bottom="0.78740157499999996" header="0.31496062000000002" footer="0.31496062000000002"/>
  <ignoredErrors>
    <ignoredError sqref="C18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6F599-305D-41A6-9158-65E7F9D6A4BB}">
  <sheetPr>
    <tabColor theme="8" tint="0.39997558519241921"/>
  </sheetPr>
  <dimension ref="A1:L22"/>
  <sheetViews>
    <sheetView showGridLines="0" topLeftCell="B10" zoomScale="130" zoomScaleNormal="130" zoomScaleSheetLayoutView="85" workbookViewId="0">
      <selection activeCell="G22" sqref="G22:L22"/>
    </sheetView>
  </sheetViews>
  <sheetFormatPr defaultRowHeight="15" x14ac:dyDescent="0.25"/>
  <cols>
    <col min="1" max="11" width="12.7109375" customWidth="1"/>
    <col min="12" max="12" width="15" bestFit="1" customWidth="1"/>
  </cols>
  <sheetData>
    <row r="1" spans="1:12" ht="15.75" thickBot="1" x14ac:dyDescent="0.3"/>
    <row r="2" spans="1:12" ht="15.75" thickBot="1" x14ac:dyDescent="0.3">
      <c r="A2" s="138" t="s">
        <v>45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40"/>
    </row>
    <row r="3" spans="1:12" ht="15.75" thickBot="1" x14ac:dyDescent="0.3">
      <c r="A3" s="42" t="s">
        <v>0</v>
      </c>
      <c r="B3" s="38">
        <v>2015</v>
      </c>
      <c r="C3" s="38">
        <v>2016</v>
      </c>
      <c r="D3" s="38">
        <v>2017</v>
      </c>
      <c r="E3" s="38">
        <v>2018</v>
      </c>
      <c r="F3" s="38">
        <v>2019</v>
      </c>
      <c r="G3" s="38">
        <v>2020</v>
      </c>
      <c r="H3" s="38">
        <v>2021</v>
      </c>
      <c r="I3" s="38">
        <v>2022</v>
      </c>
      <c r="J3" s="38">
        <v>2023</v>
      </c>
      <c r="K3" s="38">
        <v>2024</v>
      </c>
      <c r="L3" s="39">
        <v>2025</v>
      </c>
    </row>
    <row r="4" spans="1:12" x14ac:dyDescent="0.25">
      <c r="A4" s="43" t="s">
        <v>1</v>
      </c>
      <c r="B4" s="3">
        <v>5735.1982524619898</v>
      </c>
      <c r="C4" s="3">
        <v>6792.4489328976379</v>
      </c>
      <c r="D4" s="3">
        <v>8466.0733921572428</v>
      </c>
      <c r="E4" s="3">
        <v>9989.8310113471853</v>
      </c>
      <c r="F4" s="3">
        <v>11347.97519568783</v>
      </c>
      <c r="G4" s="3">
        <v>12494.60441283916</v>
      </c>
      <c r="H4" s="3">
        <v>15779.8924022547</v>
      </c>
      <c r="I4" s="3">
        <v>20455.969726509986</v>
      </c>
      <c r="J4" s="3">
        <v>24223.383223195415</v>
      </c>
      <c r="K4" s="3">
        <v>32289.425209537356</v>
      </c>
      <c r="L4" s="37">
        <v>40810.255367272046</v>
      </c>
    </row>
    <row r="5" spans="1:12" x14ac:dyDescent="0.25">
      <c r="A5" s="43" t="s">
        <v>2</v>
      </c>
      <c r="B5" s="3">
        <v>2215.1119059342968</v>
      </c>
      <c r="C5" s="3">
        <v>2527.8572341321865</v>
      </c>
      <c r="D5" s="3">
        <v>3200.4483972184171</v>
      </c>
      <c r="E5" s="3">
        <v>5523.1338542961257</v>
      </c>
      <c r="F5" s="3">
        <v>7011.6105338482575</v>
      </c>
      <c r="G5" s="3">
        <v>6584.642188865274</v>
      </c>
      <c r="H5" s="3">
        <v>10807.481526032647</v>
      </c>
      <c r="I5" s="3">
        <v>11914.914823558733</v>
      </c>
      <c r="J5" s="3">
        <v>14045.514864056213</v>
      </c>
      <c r="K5" s="3">
        <v>18417.764583403474</v>
      </c>
      <c r="L5" s="37">
        <v>18070.900181588386</v>
      </c>
    </row>
    <row r="6" spans="1:12" x14ac:dyDescent="0.25">
      <c r="A6" s="43" t="s">
        <v>3</v>
      </c>
      <c r="B6" s="3">
        <v>918.62534681583827</v>
      </c>
      <c r="C6" s="3">
        <v>1166.4784315849147</v>
      </c>
      <c r="D6" s="3">
        <v>1376.8083384035672</v>
      </c>
      <c r="E6" s="3">
        <v>1461.4906143190744</v>
      </c>
      <c r="F6" s="3">
        <v>1816.1676811869997</v>
      </c>
      <c r="G6" s="3">
        <v>2088.899548832826</v>
      </c>
      <c r="H6" s="3">
        <v>2735.2434266613923</v>
      </c>
      <c r="I6" s="3">
        <v>3953.1818835373433</v>
      </c>
      <c r="J6" s="3">
        <v>4632.0873801011649</v>
      </c>
      <c r="K6" s="3">
        <v>7832.6565130892122</v>
      </c>
      <c r="L6" s="37">
        <v>10248.67209367698</v>
      </c>
    </row>
    <row r="7" spans="1:12" x14ac:dyDescent="0.25">
      <c r="A7" s="43" t="s">
        <v>4</v>
      </c>
      <c r="B7" s="3">
        <v>787.76596645849884</v>
      </c>
      <c r="C7" s="3">
        <v>966.27516489849847</v>
      </c>
      <c r="D7" s="3">
        <v>1229.5738877907695</v>
      </c>
      <c r="E7" s="3">
        <v>1391.7723786087508</v>
      </c>
      <c r="F7" s="3">
        <v>1638.5422491997854</v>
      </c>
      <c r="G7" s="3">
        <v>2023.7258657660327</v>
      </c>
      <c r="H7" s="3">
        <v>2818.807135723614</v>
      </c>
      <c r="I7" s="3">
        <v>3715.6157699904074</v>
      </c>
      <c r="J7" s="3">
        <v>4430.2209300197228</v>
      </c>
      <c r="K7" s="3">
        <v>6046.640032702674</v>
      </c>
      <c r="L7" s="37">
        <v>8541.7431021613593</v>
      </c>
    </row>
    <row r="8" spans="1:12" x14ac:dyDescent="0.25">
      <c r="A8" s="43" t="s">
        <v>5</v>
      </c>
      <c r="B8" s="3">
        <v>1056.2296985524706</v>
      </c>
      <c r="C8" s="3">
        <v>1220.5892816739945</v>
      </c>
      <c r="D8" s="3">
        <v>1509.9701691308026</v>
      </c>
      <c r="E8" s="3">
        <v>2141.2589743592976</v>
      </c>
      <c r="F8" s="3">
        <v>2466.5149292816341</v>
      </c>
      <c r="G8" s="3">
        <v>2648.8684209290632</v>
      </c>
      <c r="H8" s="3">
        <v>3489.0470825595489</v>
      </c>
      <c r="I8" s="3">
        <v>3733.3869097155343</v>
      </c>
      <c r="J8" s="3">
        <v>4242.8106154817788</v>
      </c>
      <c r="K8" s="3">
        <v>5193.8558915354779</v>
      </c>
      <c r="L8" s="37">
        <v>5447.1334781120358</v>
      </c>
    </row>
    <row r="9" spans="1:12" x14ac:dyDescent="0.25">
      <c r="A9" s="43" t="s">
        <v>6</v>
      </c>
      <c r="B9" s="3">
        <v>697.00804747634731</v>
      </c>
      <c r="C9" s="3">
        <v>879.35218299979454</v>
      </c>
      <c r="D9" s="3">
        <v>1122.2417635406762</v>
      </c>
      <c r="E9" s="3">
        <v>1223.9785057255792</v>
      </c>
      <c r="F9" s="3">
        <v>1414.2292821147994</v>
      </c>
      <c r="G9" s="3">
        <v>2000.1571717975989</v>
      </c>
      <c r="H9" s="3">
        <v>2609.8160522183839</v>
      </c>
      <c r="I9" s="3">
        <v>2887.6151718081765</v>
      </c>
      <c r="J9" s="3">
        <v>3398.2330239528196</v>
      </c>
      <c r="K9" s="3">
        <v>4615.7571603466004</v>
      </c>
      <c r="L9" s="37">
        <v>6176.8206142119961</v>
      </c>
    </row>
    <row r="10" spans="1:12" x14ac:dyDescent="0.25">
      <c r="A10" s="43" t="s">
        <v>7</v>
      </c>
      <c r="B10" s="3">
        <v>555.49656229068341</v>
      </c>
      <c r="C10" s="3">
        <v>681.30764173688488</v>
      </c>
      <c r="D10" s="3">
        <v>852.21501060030869</v>
      </c>
      <c r="E10" s="3">
        <v>970.69667951490976</v>
      </c>
      <c r="F10" s="3">
        <v>1118.406108634143</v>
      </c>
      <c r="G10" s="3">
        <v>1392.0194222577275</v>
      </c>
      <c r="H10" s="3">
        <v>2034.3654005322912</v>
      </c>
      <c r="I10" s="3">
        <v>2352.3178179889464</v>
      </c>
      <c r="J10" s="3">
        <v>3271.5452131991187</v>
      </c>
      <c r="K10" s="3">
        <v>4357.9843587192972</v>
      </c>
      <c r="L10" s="37">
        <v>6102.8196998606963</v>
      </c>
    </row>
    <row r="11" spans="1:12" x14ac:dyDescent="0.25">
      <c r="A11" s="43" t="s">
        <v>8</v>
      </c>
      <c r="B11" s="3">
        <v>558.56242208467404</v>
      </c>
      <c r="C11" s="3">
        <v>758.67149889935217</v>
      </c>
      <c r="D11" s="3">
        <v>806.99796493335225</v>
      </c>
      <c r="E11" s="3">
        <v>900.81504151792819</v>
      </c>
      <c r="F11" s="3">
        <v>1103.956338089464</v>
      </c>
      <c r="G11" s="3">
        <v>1282.1489535983867</v>
      </c>
      <c r="H11" s="3">
        <v>1678.1272615420223</v>
      </c>
      <c r="I11" s="3">
        <v>2160.2992458535055</v>
      </c>
      <c r="J11" s="3">
        <v>2886.0039497817033</v>
      </c>
      <c r="K11" s="3">
        <v>3567.6597402225548</v>
      </c>
      <c r="L11" s="37">
        <v>4717.9740260215367</v>
      </c>
    </row>
    <row r="12" spans="1:12" x14ac:dyDescent="0.25">
      <c r="A12" s="43" t="s">
        <v>9</v>
      </c>
      <c r="B12" s="3">
        <v>476.45259922266456</v>
      </c>
      <c r="C12" s="3">
        <v>588.35042760516103</v>
      </c>
      <c r="D12" s="3">
        <v>722.82166519465488</v>
      </c>
      <c r="E12" s="3">
        <v>794.42501935338259</v>
      </c>
      <c r="F12" s="3">
        <v>1001.6652196350246</v>
      </c>
      <c r="G12" s="3">
        <v>1107.4303439096352</v>
      </c>
      <c r="H12" s="3">
        <v>1372.4612713498736</v>
      </c>
      <c r="I12" s="3">
        <v>1943.6557016362276</v>
      </c>
      <c r="J12" s="3">
        <v>2477.7489648252549</v>
      </c>
      <c r="K12" s="3">
        <v>3269.3886357161209</v>
      </c>
      <c r="L12" s="37">
        <v>4134.4627445200867</v>
      </c>
    </row>
    <row r="13" spans="1:12" x14ac:dyDescent="0.25">
      <c r="A13" s="43" t="s">
        <v>10</v>
      </c>
      <c r="B13" s="3">
        <v>407.34744407352497</v>
      </c>
      <c r="C13" s="3">
        <v>501.63642274054081</v>
      </c>
      <c r="D13" s="3">
        <v>610.79231892696248</v>
      </c>
      <c r="E13" s="3">
        <v>713.93030692299521</v>
      </c>
      <c r="F13" s="3">
        <v>972.81727605020308</v>
      </c>
      <c r="G13" s="3">
        <v>1316.3938310328635</v>
      </c>
      <c r="H13" s="3">
        <v>1582.3827647627891</v>
      </c>
      <c r="I13" s="3">
        <v>1750.2769191951759</v>
      </c>
      <c r="J13" s="3">
        <v>2363.1285811578277</v>
      </c>
      <c r="K13" s="3">
        <v>3089.0281925065569</v>
      </c>
      <c r="L13" s="37">
        <v>3720.1121273291701</v>
      </c>
    </row>
    <row r="14" spans="1:12" x14ac:dyDescent="0.25">
      <c r="A14" s="43" t="s">
        <v>11</v>
      </c>
      <c r="B14" s="3">
        <v>382.78342727544526</v>
      </c>
      <c r="C14" s="3">
        <v>486.54232737957938</v>
      </c>
      <c r="D14" s="3">
        <v>577.95530342556128</v>
      </c>
      <c r="E14" s="3">
        <v>655.66181423194496</v>
      </c>
      <c r="F14" s="3">
        <v>853.71792304581277</v>
      </c>
      <c r="G14" s="3">
        <v>867.25375984585025</v>
      </c>
      <c r="H14" s="3">
        <v>1313.2173739043542</v>
      </c>
      <c r="I14" s="3">
        <v>1695.567909125697</v>
      </c>
      <c r="J14" s="3">
        <v>2087.5039846551526</v>
      </c>
      <c r="K14" s="3">
        <v>2961.7526344553335</v>
      </c>
      <c r="L14" s="37">
        <v>3893.1262067798889</v>
      </c>
    </row>
    <row r="15" spans="1:12" x14ac:dyDescent="0.25">
      <c r="A15" s="43" t="s">
        <v>12</v>
      </c>
      <c r="B15" s="3">
        <v>392.60484927480087</v>
      </c>
      <c r="C15" s="3">
        <v>481.11665292453335</v>
      </c>
      <c r="D15" s="3">
        <v>594.76528368921277</v>
      </c>
      <c r="E15" s="3">
        <v>696.70361952141116</v>
      </c>
      <c r="F15" s="3">
        <v>794.62577150835716</v>
      </c>
      <c r="G15" s="3">
        <v>900.56477764625379</v>
      </c>
      <c r="H15" s="3">
        <v>1371.4025416424072</v>
      </c>
      <c r="I15" s="3">
        <v>1796.3632718754732</v>
      </c>
      <c r="J15" s="3">
        <v>2050.8767002885743</v>
      </c>
      <c r="K15" s="3">
        <v>2732.118369571519</v>
      </c>
      <c r="L15" s="37">
        <v>3729.9879329165251</v>
      </c>
    </row>
    <row r="16" spans="1:12" x14ac:dyDescent="0.25">
      <c r="A16" s="43" t="s">
        <v>13</v>
      </c>
      <c r="B16" s="3">
        <v>345.71617176728563</v>
      </c>
      <c r="C16" s="3">
        <v>434.27751040983054</v>
      </c>
      <c r="D16" s="3">
        <v>544.11388324764073</v>
      </c>
      <c r="E16" s="3">
        <v>596.31689269267724</v>
      </c>
      <c r="F16" s="3">
        <v>705.1682801721937</v>
      </c>
      <c r="G16" s="3">
        <v>799.16944977448554</v>
      </c>
      <c r="H16" s="3">
        <v>1136.3047358984529</v>
      </c>
      <c r="I16" s="3">
        <v>1399.0581984636497</v>
      </c>
      <c r="J16" s="3">
        <v>1868.2406873475222</v>
      </c>
      <c r="K16" s="3">
        <v>2363.2178981850957</v>
      </c>
      <c r="L16" s="37">
        <v>3190.6994347960836</v>
      </c>
    </row>
    <row r="17" spans="1:12" x14ac:dyDescent="0.25">
      <c r="A17" s="43" t="s">
        <v>14</v>
      </c>
      <c r="B17" s="3">
        <v>374.64342785852801</v>
      </c>
      <c r="C17" s="3">
        <v>473.21523784754316</v>
      </c>
      <c r="D17" s="3">
        <v>561.63694323107188</v>
      </c>
      <c r="E17" s="3">
        <v>666.10596735771594</v>
      </c>
      <c r="F17" s="3">
        <v>735.48561552108936</v>
      </c>
      <c r="G17" s="3">
        <v>876.30784604281007</v>
      </c>
      <c r="H17" s="3">
        <v>1235.9366448043468</v>
      </c>
      <c r="I17" s="3">
        <v>1498.3762176946852</v>
      </c>
      <c r="J17" s="3">
        <v>1765.1476902784807</v>
      </c>
      <c r="K17" s="3">
        <v>2298.7130477297496</v>
      </c>
      <c r="L17" s="37">
        <v>3191.5524781200556</v>
      </c>
    </row>
    <row r="18" spans="1:12" x14ac:dyDescent="0.25">
      <c r="A18" s="43" t="s">
        <v>15</v>
      </c>
      <c r="B18" s="3">
        <v>303.29406589159487</v>
      </c>
      <c r="C18" s="3">
        <v>366.84514323908195</v>
      </c>
      <c r="D18" s="3">
        <v>472.0051157909607</v>
      </c>
      <c r="E18" s="3">
        <v>508.30387561720767</v>
      </c>
      <c r="F18" s="3">
        <v>541.25855370557736</v>
      </c>
      <c r="G18" s="3">
        <v>730.28747137368339</v>
      </c>
      <c r="H18" s="3">
        <v>945.67699078271971</v>
      </c>
      <c r="I18" s="3">
        <v>1189.1894326980537</v>
      </c>
      <c r="J18" s="3">
        <v>1619.2494204038437</v>
      </c>
      <c r="K18" s="3">
        <v>2249.4470333874729</v>
      </c>
      <c r="L18" s="37">
        <v>2939.333440469095</v>
      </c>
    </row>
    <row r="19" spans="1:12" x14ac:dyDescent="0.25">
      <c r="A19" s="43" t="s">
        <v>16</v>
      </c>
      <c r="B19" s="3">
        <v>233.04781559974816</v>
      </c>
      <c r="C19" s="3">
        <v>288.29312308322267</v>
      </c>
      <c r="D19" s="3">
        <v>356.41677920957272</v>
      </c>
      <c r="E19" s="3">
        <v>374.88509074677717</v>
      </c>
      <c r="F19" s="3">
        <v>490.92698356428087</v>
      </c>
      <c r="G19" s="3">
        <v>484.04654264863325</v>
      </c>
      <c r="H19" s="3">
        <v>610.82536330526989</v>
      </c>
      <c r="I19" s="3">
        <v>610.09771610495773</v>
      </c>
      <c r="J19" s="3">
        <v>847.9021605389521</v>
      </c>
      <c r="K19" s="3">
        <v>1263.378045821421</v>
      </c>
      <c r="L19" s="37">
        <v>1577.3053302634728</v>
      </c>
    </row>
    <row r="20" spans="1:12" x14ac:dyDescent="0.25">
      <c r="A20" s="43" t="s">
        <v>17</v>
      </c>
      <c r="B20" s="3">
        <v>204.85266971061276</v>
      </c>
      <c r="C20" s="3">
        <v>251.20831073761258</v>
      </c>
      <c r="D20" s="3">
        <v>296.97622391848398</v>
      </c>
      <c r="E20" s="3">
        <v>330.92301584368363</v>
      </c>
      <c r="F20" s="3">
        <v>403.79253961035977</v>
      </c>
      <c r="G20" s="3">
        <v>365.25964264467308</v>
      </c>
      <c r="H20" s="3">
        <v>492.31547287175664</v>
      </c>
      <c r="I20" s="3">
        <v>558.32186817139177</v>
      </c>
      <c r="J20" s="3">
        <v>718.19060999149769</v>
      </c>
      <c r="K20" s="3">
        <v>831.51133803369828</v>
      </c>
      <c r="L20" s="37">
        <v>1044.7844211356939</v>
      </c>
    </row>
    <row r="21" spans="1:12" ht="15.75" thickBot="1" x14ac:dyDescent="0.3">
      <c r="A21" s="43" t="s">
        <v>18</v>
      </c>
      <c r="B21" s="3">
        <v>162.57665848322461</v>
      </c>
      <c r="C21" s="3">
        <v>197.07847554916421</v>
      </c>
      <c r="D21" s="3">
        <v>243.42605704333053</v>
      </c>
      <c r="E21" s="3">
        <v>253.54846047793737</v>
      </c>
      <c r="F21" s="3">
        <v>318.17434779771725</v>
      </c>
      <c r="G21" s="3">
        <v>281.86732263988836</v>
      </c>
      <c r="H21" s="3">
        <v>410.44492504950261</v>
      </c>
      <c r="I21" s="3">
        <v>483.26887750828718</v>
      </c>
      <c r="J21" s="3">
        <v>572.07964336961868</v>
      </c>
      <c r="K21" s="3">
        <v>630.78912361749963</v>
      </c>
      <c r="L21" s="37">
        <v>764.33916394635992</v>
      </c>
    </row>
    <row r="22" spans="1:12" ht="15.75" thickBot="1" x14ac:dyDescent="0.3">
      <c r="A22" s="42" t="s">
        <v>19</v>
      </c>
      <c r="B22" s="40">
        <v>15807.317331585087</v>
      </c>
      <c r="C22" s="40">
        <v>19061.544000339538</v>
      </c>
      <c r="D22" s="40">
        <v>23545.238497452585</v>
      </c>
      <c r="E22" s="40">
        <v>29193.781122454584</v>
      </c>
      <c r="F22" s="40">
        <v>34735.03482865353</v>
      </c>
      <c r="G22" s="40">
        <v>38243.646972444847</v>
      </c>
      <c r="H22" s="40">
        <v>52423.748371896065</v>
      </c>
      <c r="I22" s="40">
        <v>64097.477461436225</v>
      </c>
      <c r="J22" s="40">
        <v>77499.867642644647</v>
      </c>
      <c r="K22" s="40">
        <v>104011.08780858111</v>
      </c>
      <c r="L22" s="41">
        <v>128302.0218431815</v>
      </c>
    </row>
  </sheetData>
  <mergeCells count="1">
    <mergeCell ref="A2:L2"/>
  </mergeCells>
  <pageMargins left="0.7" right="0.7" top="0.75" bottom="0.75" header="0.3" footer="0.3"/>
  <pageSetup paperSize="9" scale="6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88E47-C01E-4685-BD67-2BF777AFB37C}">
  <sheetPr>
    <tabColor theme="8" tint="0.39997558519241921"/>
  </sheetPr>
  <dimension ref="A1:L21"/>
  <sheetViews>
    <sheetView showGridLines="0" zoomScale="130" zoomScaleNormal="130" zoomScaleSheetLayoutView="85" workbookViewId="0">
      <selection sqref="A1:L1"/>
    </sheetView>
  </sheetViews>
  <sheetFormatPr defaultRowHeight="15" x14ac:dyDescent="0.25"/>
  <cols>
    <col min="1" max="11" width="13" customWidth="1"/>
    <col min="12" max="12" width="15" bestFit="1" customWidth="1"/>
  </cols>
  <sheetData>
    <row r="1" spans="1:12" ht="15.75" thickBot="1" x14ac:dyDescent="0.3">
      <c r="A1" s="138" t="s">
        <v>31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40"/>
    </row>
    <row r="2" spans="1:12" ht="15.75" thickBot="1" x14ac:dyDescent="0.3">
      <c r="A2" s="49" t="s">
        <v>0</v>
      </c>
      <c r="B2" s="50">
        <v>2015</v>
      </c>
      <c r="C2" s="50">
        <v>2016</v>
      </c>
      <c r="D2" s="50">
        <v>2017</v>
      </c>
      <c r="E2" s="50">
        <v>2018</v>
      </c>
      <c r="F2" s="50">
        <v>2019</v>
      </c>
      <c r="G2" s="50">
        <v>2020</v>
      </c>
      <c r="H2" s="50">
        <v>2021</v>
      </c>
      <c r="I2" s="50">
        <v>2022</v>
      </c>
      <c r="J2" s="50">
        <v>2023</v>
      </c>
      <c r="K2" s="50">
        <v>2024</v>
      </c>
      <c r="L2" s="51">
        <v>2025</v>
      </c>
    </row>
    <row r="3" spans="1:12" x14ac:dyDescent="0.25">
      <c r="A3" s="44" t="s">
        <v>1</v>
      </c>
      <c r="B3" s="4">
        <v>36.281920152272221</v>
      </c>
      <c r="C3" s="4">
        <v>35.634306081273614</v>
      </c>
      <c r="D3" s="4">
        <v>35.956626190357795</v>
      </c>
      <c r="E3" s="4">
        <v>34.219037847288106</v>
      </c>
      <c r="F3" s="4">
        <v>32.670113191672087</v>
      </c>
      <c r="G3" s="4">
        <v>32.67105886068272</v>
      </c>
      <c r="H3" s="4">
        <v>30.100656462623665</v>
      </c>
      <c r="I3" s="4">
        <v>31.913845188084306</v>
      </c>
      <c r="J3" s="4">
        <v>31.256031732712781</v>
      </c>
      <c r="K3" s="4">
        <v>31.044214506209034</v>
      </c>
      <c r="L3" s="45">
        <v>31.807959672804543</v>
      </c>
    </row>
    <row r="4" spans="1:12" x14ac:dyDescent="0.25">
      <c r="A4" s="44" t="s">
        <v>2</v>
      </c>
      <c r="B4" s="4">
        <v>14.01320577975754</v>
      </c>
      <c r="C4" s="4">
        <v>13.261555486203838</v>
      </c>
      <c r="D4" s="4">
        <v>13.592762704717053</v>
      </c>
      <c r="E4" s="4">
        <v>18.918871218253987</v>
      </c>
      <c r="F4" s="4">
        <v>20.185989645429288</v>
      </c>
      <c r="G4" s="4">
        <v>17.217610531782217</v>
      </c>
      <c r="H4" s="4">
        <v>20.615621472474576</v>
      </c>
      <c r="I4" s="4">
        <v>18.588742171214541</v>
      </c>
      <c r="J4" s="4">
        <v>18.123275937477352</v>
      </c>
      <c r="K4" s="4">
        <v>17.707501163048093</v>
      </c>
      <c r="L4" s="45">
        <v>14.084657374827447</v>
      </c>
    </row>
    <row r="5" spans="1:12" x14ac:dyDescent="0.25">
      <c r="A5" s="44" t="s">
        <v>3</v>
      </c>
      <c r="B5" s="4">
        <v>5.8113930880624807</v>
      </c>
      <c r="C5" s="4">
        <v>6.1195380162495576</v>
      </c>
      <c r="D5" s="4">
        <v>5.8475021968986525</v>
      </c>
      <c r="E5" s="4">
        <v>5.0061710341280854</v>
      </c>
      <c r="F5" s="4">
        <v>5.2286335400153723</v>
      </c>
      <c r="G5" s="4">
        <v>5.4620825004945557</v>
      </c>
      <c r="H5" s="4">
        <v>5.217565533958906</v>
      </c>
      <c r="I5" s="4">
        <v>6.1674531356023268</v>
      </c>
      <c r="J5" s="4">
        <v>5.9768971496311796</v>
      </c>
      <c r="K5" s="4">
        <v>7.530597629652906</v>
      </c>
      <c r="L5" s="45">
        <v>7.987927194322415</v>
      </c>
    </row>
    <row r="6" spans="1:12" x14ac:dyDescent="0.25">
      <c r="A6" s="44" t="s">
        <v>20</v>
      </c>
      <c r="B6" s="4">
        <v>4.9835525531232259</v>
      </c>
      <c r="C6" s="4">
        <v>5.0692386979842059</v>
      </c>
      <c r="D6" s="4">
        <v>5.2221763985266065</v>
      </c>
      <c r="E6" s="4">
        <v>4.7673590918932396</v>
      </c>
      <c r="F6" s="4">
        <v>4.7172609939291714</v>
      </c>
      <c r="G6" s="4">
        <v>5.2916654816528332</v>
      </c>
      <c r="H6" s="4">
        <v>5.3769660187724257</v>
      </c>
      <c r="I6" s="4">
        <v>5.7968205881828663</v>
      </c>
      <c r="J6" s="4">
        <v>5.7164238659705449</v>
      </c>
      <c r="K6" s="4">
        <v>5.8134571612506631</v>
      </c>
      <c r="L6" s="45">
        <v>6.6575280571974105</v>
      </c>
    </row>
    <row r="7" spans="1:12" x14ac:dyDescent="0.25">
      <c r="A7" s="44" t="s">
        <v>5</v>
      </c>
      <c r="B7" s="4">
        <v>6.6819035538812495</v>
      </c>
      <c r="C7" s="4">
        <v>6.4034124499686511</v>
      </c>
      <c r="D7" s="4">
        <v>6.4130595631646274</v>
      </c>
      <c r="E7" s="4">
        <v>7.3346407763273058</v>
      </c>
      <c r="F7" s="4">
        <v>7.1009427266989906</v>
      </c>
      <c r="G7" s="4">
        <v>6.9262966025118233</v>
      </c>
      <c r="H7" s="4">
        <v>6.6554704516894061</v>
      </c>
      <c r="I7" s="4">
        <v>5.8245457661913438</v>
      </c>
      <c r="J7" s="4">
        <v>5.4746036922870216</v>
      </c>
      <c r="K7" s="4">
        <v>4.9935598222894217</v>
      </c>
      <c r="L7" s="45">
        <v>4.2455554478867468</v>
      </c>
    </row>
    <row r="8" spans="1:12" x14ac:dyDescent="0.25">
      <c r="A8" s="44" t="s">
        <v>6</v>
      </c>
      <c r="B8" s="4">
        <v>4.4094012466216146</v>
      </c>
      <c r="C8" s="4">
        <v>4.6132264153634717</v>
      </c>
      <c r="D8" s="4">
        <v>4.7663214949472446</v>
      </c>
      <c r="E8" s="4">
        <v>4.1926001314853609</v>
      </c>
      <c r="F8" s="4">
        <v>4.0714779446490645</v>
      </c>
      <c r="G8" s="4">
        <v>5.2300377451939761</v>
      </c>
      <c r="H8" s="4">
        <v>4.9783087498899343</v>
      </c>
      <c r="I8" s="4">
        <v>4.5050371499338473</v>
      </c>
      <c r="J8" s="4">
        <v>4.3848242936648925</v>
      </c>
      <c r="K8" s="4">
        <v>4.4377549140158035</v>
      </c>
      <c r="L8" s="45">
        <v>4.8142815876757421</v>
      </c>
    </row>
    <row r="9" spans="1:12" x14ac:dyDescent="0.25">
      <c r="A9" s="44" t="s">
        <v>7</v>
      </c>
      <c r="B9" s="4">
        <v>3.514173535193911</v>
      </c>
      <c r="C9" s="4">
        <v>3.5742521262954825</v>
      </c>
      <c r="D9" s="4">
        <v>3.6194792025254356</v>
      </c>
      <c r="E9" s="4">
        <v>3.3250118422251651</v>
      </c>
      <c r="F9" s="4">
        <v>3.2198214688748505</v>
      </c>
      <c r="G9" s="4">
        <v>3.6398710176900737</v>
      </c>
      <c r="H9" s="4">
        <v>3.8806179712683373</v>
      </c>
      <c r="I9" s="4">
        <v>3.6699070090616299</v>
      </c>
      <c r="J9" s="4">
        <v>4.2213558715794974</v>
      </c>
      <c r="K9" s="4">
        <v>4.1899228731648313</v>
      </c>
      <c r="L9" s="45">
        <v>4.7566044651423587</v>
      </c>
    </row>
    <row r="10" spans="1:12" x14ac:dyDescent="0.25">
      <c r="A10" s="44" t="s">
        <v>8</v>
      </c>
      <c r="B10" s="4">
        <v>3.5335687287595174</v>
      </c>
      <c r="C10" s="4">
        <v>3.9801156657920167</v>
      </c>
      <c r="D10" s="4">
        <v>3.4274359336842704</v>
      </c>
      <c r="E10" s="4">
        <v>3.0856401839125267</v>
      </c>
      <c r="F10" s="4">
        <v>3.1782214802294986</v>
      </c>
      <c r="G10" s="4">
        <v>3.3525802456083631</v>
      </c>
      <c r="H10" s="4">
        <v>3.2010821691675377</v>
      </c>
      <c r="I10" s="4">
        <v>3.370334264953303</v>
      </c>
      <c r="J10" s="4">
        <v>3.7238824240180595</v>
      </c>
      <c r="K10" s="4">
        <v>3.4300763653086381</v>
      </c>
      <c r="L10" s="45">
        <v>3.6772405907898555</v>
      </c>
    </row>
    <row r="11" spans="1:12" x14ac:dyDescent="0.25">
      <c r="A11" s="44" t="s">
        <v>9</v>
      </c>
      <c r="B11" s="4">
        <v>3.0141268706654607</v>
      </c>
      <c r="C11" s="4">
        <v>3.0865832673086762</v>
      </c>
      <c r="D11" s="4">
        <v>3.0699271331350442</v>
      </c>
      <c r="E11" s="4">
        <v>2.7212131790025151</v>
      </c>
      <c r="F11" s="4">
        <v>2.8837317267024409</v>
      </c>
      <c r="G11" s="4">
        <v>2.8957236863617015</v>
      </c>
      <c r="H11" s="4">
        <v>2.6180143808366796</v>
      </c>
      <c r="I11" s="4">
        <v>3.0323435158670851</v>
      </c>
      <c r="J11" s="4">
        <v>3.1971008986109064</v>
      </c>
      <c r="K11" s="4">
        <v>3.143307799773237</v>
      </c>
      <c r="L11" s="45">
        <v>3.2224455118668964</v>
      </c>
    </row>
    <row r="12" spans="1:12" x14ac:dyDescent="0.25">
      <c r="A12" s="44" t="s">
        <v>10</v>
      </c>
      <c r="B12" s="4">
        <v>2.5769549350387968</v>
      </c>
      <c r="C12" s="4">
        <v>2.6316673126353529</v>
      </c>
      <c r="D12" s="4">
        <v>2.594122454920325</v>
      </c>
      <c r="E12" s="4">
        <v>2.445487632891346</v>
      </c>
      <c r="F12" s="4">
        <v>2.8006802954108725</v>
      </c>
      <c r="G12" s="4">
        <v>3.4421242094964062</v>
      </c>
      <c r="H12" s="4">
        <v>3.0184464367891164</v>
      </c>
      <c r="I12" s="4">
        <v>2.7306486752902517</v>
      </c>
      <c r="J12" s="4">
        <v>3.0492033767777764</v>
      </c>
      <c r="K12" s="4">
        <v>2.9699027840104044</v>
      </c>
      <c r="L12" s="45">
        <v>2.8994961060521058</v>
      </c>
    </row>
    <row r="13" spans="1:12" x14ac:dyDescent="0.25">
      <c r="A13" s="44" t="s">
        <v>11</v>
      </c>
      <c r="B13" s="4">
        <v>2.4215584418653626</v>
      </c>
      <c r="C13" s="4">
        <v>2.5524812017899112</v>
      </c>
      <c r="D13" s="4">
        <v>2.4546589472350924</v>
      </c>
      <c r="E13" s="4">
        <v>2.2458954922000096</v>
      </c>
      <c r="F13" s="4">
        <v>2.457800682386436</v>
      </c>
      <c r="G13" s="4">
        <v>2.267706739555253</v>
      </c>
      <c r="H13" s="4">
        <v>2.5050047253171219</v>
      </c>
      <c r="I13" s="4">
        <v>2.6452958466982155</v>
      </c>
      <c r="J13" s="4">
        <v>2.6935581287451056</v>
      </c>
      <c r="K13" s="4">
        <v>2.8475354857417261</v>
      </c>
      <c r="L13" s="45">
        <v>3.0343451730934556</v>
      </c>
    </row>
    <row r="14" spans="1:12" x14ac:dyDescent="0.25">
      <c r="A14" s="44" t="s">
        <v>12</v>
      </c>
      <c r="B14" s="4">
        <v>2.4836905658262776</v>
      </c>
      <c r="C14" s="4">
        <v>2.5240172197801152</v>
      </c>
      <c r="D14" s="4">
        <v>2.5260533409061106</v>
      </c>
      <c r="E14" s="4">
        <v>2.3864795608320057</v>
      </c>
      <c r="F14" s="4">
        <v>2.2876780617270507</v>
      </c>
      <c r="G14" s="4">
        <v>2.3548088347722826</v>
      </c>
      <c r="H14" s="4">
        <v>2.6159948195875375</v>
      </c>
      <c r="I14" s="4">
        <v>2.8025490908846482</v>
      </c>
      <c r="J14" s="4">
        <v>2.6462970359449627</v>
      </c>
      <c r="K14" s="4">
        <v>2.6267568459620647</v>
      </c>
      <c r="L14" s="45">
        <v>2.9071934170106393</v>
      </c>
    </row>
    <row r="15" spans="1:12" x14ac:dyDescent="0.25">
      <c r="A15" s="44" t="s">
        <v>13</v>
      </c>
      <c r="B15" s="4">
        <v>2.1870641584230075</v>
      </c>
      <c r="C15" s="4">
        <v>2.278291361927947</v>
      </c>
      <c r="D15" s="4">
        <v>2.3109295890398807</v>
      </c>
      <c r="E15" s="4">
        <v>2.0426161660642728</v>
      </c>
      <c r="F15" s="4">
        <v>2.0301355206659766</v>
      </c>
      <c r="G15" s="4">
        <v>2.0896789742628359</v>
      </c>
      <c r="H15" s="4">
        <v>2.1675381314542101</v>
      </c>
      <c r="I15" s="4">
        <v>2.1827039906607602</v>
      </c>
      <c r="J15" s="4">
        <v>2.4106372619396765</v>
      </c>
      <c r="K15" s="4">
        <v>2.2720826673155186</v>
      </c>
      <c r="L15" s="45">
        <v>2.4868660594421104</v>
      </c>
    </row>
    <row r="16" spans="1:12" x14ac:dyDescent="0.25">
      <c r="A16" s="44" t="s">
        <v>14</v>
      </c>
      <c r="B16" s="4">
        <v>2.3700633067569377</v>
      </c>
      <c r="C16" s="4">
        <v>2.4825650946172768</v>
      </c>
      <c r="D16" s="4">
        <v>2.3853525344066351</v>
      </c>
      <c r="E16" s="4">
        <v>2.281670759137727</v>
      </c>
      <c r="F16" s="4">
        <v>2.1174172392491015</v>
      </c>
      <c r="G16" s="4">
        <v>2.2913814853332468</v>
      </c>
      <c r="H16" s="4">
        <v>2.3575892285239988</v>
      </c>
      <c r="I16" s="4">
        <v>2.3376523960653088</v>
      </c>
      <c r="J16" s="4">
        <v>2.277613812732759</v>
      </c>
      <c r="K16" s="4">
        <v>2.2100653845292264</v>
      </c>
      <c r="L16" s="45">
        <v>2.4875309307447737</v>
      </c>
    </row>
    <row r="17" spans="1:12" x14ac:dyDescent="0.25">
      <c r="A17" s="44" t="s">
        <v>15</v>
      </c>
      <c r="B17" s="4">
        <v>1.9186941055809239</v>
      </c>
      <c r="C17" s="4">
        <v>1.9245300550288447</v>
      </c>
      <c r="D17" s="4">
        <v>2.0046733263798879</v>
      </c>
      <c r="E17" s="4">
        <v>1.7411375165317058</v>
      </c>
      <c r="F17" s="4">
        <v>1.5582496357800795</v>
      </c>
      <c r="G17" s="4">
        <v>1.9095654551457057</v>
      </c>
      <c r="H17" s="4">
        <v>1.803909526030171</v>
      </c>
      <c r="I17" s="4">
        <v>1.8552827346653706</v>
      </c>
      <c r="J17" s="4">
        <v>2.0893576591256582</v>
      </c>
      <c r="K17" s="4">
        <v>2.1626992667621048</v>
      </c>
      <c r="L17" s="45">
        <v>2.2909486524395746</v>
      </c>
    </row>
    <row r="18" spans="1:12" x14ac:dyDescent="0.25">
      <c r="A18" s="44" t="s">
        <v>16</v>
      </c>
      <c r="B18" s="4">
        <v>1.4743033919746025</v>
      </c>
      <c r="C18" s="4">
        <v>1.5124332167325343</v>
      </c>
      <c r="D18" s="4">
        <v>1.5137531065915273</v>
      </c>
      <c r="E18" s="4">
        <v>1.2841265376838491</v>
      </c>
      <c r="F18" s="4">
        <v>1.4133481828534304</v>
      </c>
      <c r="G18" s="4">
        <v>1.2656913787468975</v>
      </c>
      <c r="H18" s="4">
        <v>1.1651691881550543</v>
      </c>
      <c r="I18" s="4">
        <v>0.95182796619729459</v>
      </c>
      <c r="J18" s="4">
        <v>1.0940691724128702</v>
      </c>
      <c r="K18" s="4">
        <v>1.2146570836241075</v>
      </c>
      <c r="L18" s="45">
        <v>1.2293690369052412</v>
      </c>
    </row>
    <row r="19" spans="1:12" x14ac:dyDescent="0.25">
      <c r="A19" s="44" t="s">
        <v>17</v>
      </c>
      <c r="B19" s="4">
        <v>1.2959357075807565</v>
      </c>
      <c r="C19" s="4">
        <v>1.3178801818632209</v>
      </c>
      <c r="D19" s="4">
        <v>1.2613005553144623</v>
      </c>
      <c r="E19" s="4">
        <v>1.1335394153145586</v>
      </c>
      <c r="F19" s="4">
        <v>1.16249355039444</v>
      </c>
      <c r="G19" s="4">
        <v>0.95508580263762088</v>
      </c>
      <c r="H19" s="4">
        <v>0.93910772915216201</v>
      </c>
      <c r="I19" s="4">
        <v>0.8710512336578331</v>
      </c>
      <c r="J19" s="4">
        <v>0.9266991439302924</v>
      </c>
      <c r="K19" s="4">
        <v>0.79944490107053467</v>
      </c>
      <c r="L19" s="45">
        <v>0.81431641226409712</v>
      </c>
    </row>
    <row r="20" spans="1:12" x14ac:dyDescent="0.25">
      <c r="A20" s="44" t="s">
        <v>18</v>
      </c>
      <c r="B20" s="4">
        <v>1.0284898763838641</v>
      </c>
      <c r="C20" s="4">
        <v>1.0339061491852586</v>
      </c>
      <c r="D20" s="4">
        <v>1.0338653272493603</v>
      </c>
      <c r="E20" s="4">
        <v>0.86850161482823118</v>
      </c>
      <c r="F20" s="4">
        <v>0.91600411333185061</v>
      </c>
      <c r="G20" s="4">
        <v>0.7370304480714881</v>
      </c>
      <c r="H20" s="4">
        <v>0.78293700430917446</v>
      </c>
      <c r="I20" s="4">
        <v>0.75395927678907848</v>
      </c>
      <c r="J20" s="4">
        <v>0.73816854243868324</v>
      </c>
      <c r="K20" s="4">
        <v>0.60646334627168308</v>
      </c>
      <c r="L20" s="45">
        <v>0.59573430953456175</v>
      </c>
    </row>
    <row r="21" spans="1:12" ht="15.75" thickBot="1" x14ac:dyDescent="0.3">
      <c r="A21" s="46" t="s">
        <v>19</v>
      </c>
      <c r="B21" s="47">
        <v>99.999999997767745</v>
      </c>
      <c r="C21" s="47">
        <v>99.999999999999957</v>
      </c>
      <c r="D21" s="47">
        <v>100.00000000000001</v>
      </c>
      <c r="E21" s="47">
        <v>100</v>
      </c>
      <c r="F21" s="47">
        <v>100.00000000000001</v>
      </c>
      <c r="G21" s="47">
        <v>100.00000000000003</v>
      </c>
      <c r="H21" s="47">
        <v>100.00000000000001</v>
      </c>
      <c r="I21" s="47">
        <v>100.00000000000001</v>
      </c>
      <c r="J21" s="47">
        <v>100.00000000000004</v>
      </c>
      <c r="K21" s="47">
        <v>99.999999999999972</v>
      </c>
      <c r="L21" s="48">
        <v>99.999999999999972</v>
      </c>
    </row>
  </sheetData>
  <mergeCells count="1">
    <mergeCell ref="A1:L1"/>
  </mergeCells>
  <pageMargins left="0.7" right="0.7" top="0.75" bottom="0.75" header="0.3" footer="0.3"/>
  <pageSetup paperSize="9" scale="6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B02B-0EC5-4B66-BB2B-9EF6F06D20E7}">
  <sheetPr>
    <tabColor theme="8" tint="0.39997558519241921"/>
  </sheetPr>
  <dimension ref="A1:L22"/>
  <sheetViews>
    <sheetView showGridLines="0" zoomScale="130" zoomScaleNormal="130" zoomScaleSheetLayoutView="85" workbookViewId="0">
      <selection activeCell="A2" sqref="A2:L2"/>
    </sheetView>
  </sheetViews>
  <sheetFormatPr defaultRowHeight="15" x14ac:dyDescent="0.25"/>
  <cols>
    <col min="1" max="11" width="12.7109375" customWidth="1"/>
    <col min="12" max="12" width="15" bestFit="1" customWidth="1"/>
  </cols>
  <sheetData>
    <row r="1" spans="1:12" ht="15.75" thickBot="1" x14ac:dyDescent="0.3"/>
    <row r="2" spans="1:12" ht="15.75" thickBot="1" x14ac:dyDescent="0.3">
      <c r="A2" s="141" t="s">
        <v>46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3"/>
    </row>
    <row r="3" spans="1:12" ht="15.75" thickBot="1" x14ac:dyDescent="0.3">
      <c r="A3" s="54" t="s">
        <v>0</v>
      </c>
      <c r="B3" s="55">
        <v>2015</v>
      </c>
      <c r="C3" s="55">
        <v>2016</v>
      </c>
      <c r="D3" s="55">
        <v>2017</v>
      </c>
      <c r="E3" s="55">
        <v>2018</v>
      </c>
      <c r="F3" s="55">
        <v>2019</v>
      </c>
      <c r="G3" s="55">
        <v>2020</v>
      </c>
      <c r="H3" s="55">
        <v>2021</v>
      </c>
      <c r="I3" s="55">
        <v>2022</v>
      </c>
      <c r="J3" s="55">
        <v>2023</v>
      </c>
      <c r="K3" s="55">
        <v>2024</v>
      </c>
      <c r="L3" s="56">
        <v>2025</v>
      </c>
    </row>
    <row r="4" spans="1:12" x14ac:dyDescent="0.25">
      <c r="A4" s="52" t="s">
        <v>15</v>
      </c>
      <c r="B4" s="5">
        <v>272.90591116682725</v>
      </c>
      <c r="C4" s="5">
        <v>296.41428354969423</v>
      </c>
      <c r="D4" s="5">
        <v>384.62419104586405</v>
      </c>
      <c r="E4" s="5">
        <v>465.2519225904486</v>
      </c>
      <c r="F4" s="5">
        <v>471.86328266773546</v>
      </c>
      <c r="G4" s="5">
        <v>607.22027228840011</v>
      </c>
      <c r="H4" s="5">
        <v>730.94131202085805</v>
      </c>
      <c r="I4" s="5">
        <v>940.10618854353049</v>
      </c>
      <c r="J4" s="5">
        <v>1356.3504379517556</v>
      </c>
      <c r="K4" s="5">
        <v>1724.6610769267566</v>
      </c>
      <c r="L4" s="53">
        <v>2321.0441736126309</v>
      </c>
    </row>
    <row r="5" spans="1:12" x14ac:dyDescent="0.25">
      <c r="A5" s="52" t="s">
        <v>3</v>
      </c>
      <c r="B5" s="5">
        <v>841.17529138514305</v>
      </c>
      <c r="C5" s="5">
        <v>964.20794895715255</v>
      </c>
      <c r="D5" s="5">
        <v>1138.412102943259</v>
      </c>
      <c r="E5" s="5">
        <v>1304.8113874431331</v>
      </c>
      <c r="F5" s="5">
        <v>1561.15491760238</v>
      </c>
      <c r="G5" s="5">
        <v>1736.8747464827961</v>
      </c>
      <c r="H5" s="5">
        <v>2163.1089986261145</v>
      </c>
      <c r="I5" s="5">
        <v>3170.3754263097221</v>
      </c>
      <c r="J5" s="5">
        <v>3909.9131452253791</v>
      </c>
      <c r="K5" s="5">
        <v>6167.0700760114732</v>
      </c>
      <c r="L5" s="53">
        <v>8146.4591928993268</v>
      </c>
    </row>
    <row r="6" spans="1:12" x14ac:dyDescent="0.25">
      <c r="A6" s="52" t="s">
        <v>11</v>
      </c>
      <c r="B6" s="5">
        <v>344.8140324920393</v>
      </c>
      <c r="C6" s="5">
        <v>389.08948212001695</v>
      </c>
      <c r="D6" s="5">
        <v>471.82767930953213</v>
      </c>
      <c r="E6" s="5">
        <v>584.90514384553762</v>
      </c>
      <c r="F6" s="5">
        <v>741.30022768576964</v>
      </c>
      <c r="G6" s="5">
        <v>707.91978378391059</v>
      </c>
      <c r="H6" s="5">
        <v>1016.0052075463324</v>
      </c>
      <c r="I6" s="5">
        <v>1326.0380353936457</v>
      </c>
      <c r="J6" s="5">
        <v>1724.9224634535317</v>
      </c>
      <c r="K6" s="5">
        <v>2269.8150362272586</v>
      </c>
      <c r="L6" s="53">
        <v>2980.0985624908844</v>
      </c>
    </row>
    <row r="7" spans="1:12" x14ac:dyDescent="0.25">
      <c r="A7" s="52" t="s">
        <v>5</v>
      </c>
      <c r="B7" s="5">
        <v>1388.7102067867331</v>
      </c>
      <c r="C7" s="5">
        <v>1036.6922314264682</v>
      </c>
      <c r="D7" s="5">
        <v>1168.3734954753631</v>
      </c>
      <c r="E7" s="5">
        <v>1411.3593742143869</v>
      </c>
      <c r="F7" s="5">
        <v>1979.1657195860787</v>
      </c>
      <c r="G7" s="5">
        <v>2442.8303671292001</v>
      </c>
      <c r="H7" s="5">
        <v>2194.447931495084</v>
      </c>
      <c r="I7" s="5">
        <v>3421.2557608217471</v>
      </c>
      <c r="J7" s="5">
        <v>3521.7799936225251</v>
      </c>
      <c r="K7" s="5">
        <v>4196.2296906021047</v>
      </c>
      <c r="L7" s="53">
        <v>4945.5837284784548</v>
      </c>
    </row>
    <row r="8" spans="1:12" x14ac:dyDescent="0.25">
      <c r="A8" s="52" t="s">
        <v>18</v>
      </c>
      <c r="B8" s="5">
        <v>146.02873706068647</v>
      </c>
      <c r="C8" s="5">
        <v>160.11264588167131</v>
      </c>
      <c r="D8" s="5">
        <v>205.35202074097057</v>
      </c>
      <c r="E8" s="5">
        <v>240.61112624976735</v>
      </c>
      <c r="F8" s="5">
        <v>278.8274181259722</v>
      </c>
      <c r="G8" s="5">
        <v>245.45512332532016</v>
      </c>
      <c r="H8" s="5">
        <v>340.20385931513738</v>
      </c>
      <c r="I8" s="5">
        <v>406.93090825680451</v>
      </c>
      <c r="J8" s="5">
        <v>497.13756785900648</v>
      </c>
      <c r="K8" s="5">
        <v>498.71381712029023</v>
      </c>
      <c r="L8" s="53">
        <v>634.6962635760782</v>
      </c>
    </row>
    <row r="9" spans="1:12" x14ac:dyDescent="0.25">
      <c r="A9" s="52" t="s">
        <v>13</v>
      </c>
      <c r="B9" s="5">
        <v>311.8075006534595</v>
      </c>
      <c r="C9" s="5">
        <v>348.452261521087</v>
      </c>
      <c r="D9" s="5">
        <v>438.88353615463603</v>
      </c>
      <c r="E9" s="5">
        <v>535.22058022368685</v>
      </c>
      <c r="F9" s="5">
        <v>610.48764277539453</v>
      </c>
      <c r="G9" s="5">
        <v>656.62335400466316</v>
      </c>
      <c r="H9" s="5">
        <v>884.22951448010087</v>
      </c>
      <c r="I9" s="5">
        <v>1103.2380985275686</v>
      </c>
      <c r="J9" s="5">
        <v>1561.894207041666</v>
      </c>
      <c r="K9" s="5">
        <v>1809.5915566488582</v>
      </c>
      <c r="L9" s="53">
        <v>2473.2949147109002</v>
      </c>
    </row>
    <row r="10" spans="1:12" x14ac:dyDescent="0.25">
      <c r="A10" s="52" t="s">
        <v>6</v>
      </c>
      <c r="B10" s="5">
        <v>629.90657106546905</v>
      </c>
      <c r="C10" s="5">
        <v>708.57810385206744</v>
      </c>
      <c r="D10" s="5">
        <v>911.1640515223047</v>
      </c>
      <c r="E10" s="5">
        <v>1088.9963978599308</v>
      </c>
      <c r="F10" s="5">
        <v>1230.6318074717465</v>
      </c>
      <c r="G10" s="5">
        <v>1644.1309828269534</v>
      </c>
      <c r="H10" s="5">
        <v>2011.5919108968571</v>
      </c>
      <c r="I10" s="5">
        <v>2256.8319451812931</v>
      </c>
      <c r="J10" s="5">
        <v>2816.9921037943468</v>
      </c>
      <c r="K10" s="5">
        <v>3560.2964493261375</v>
      </c>
      <c r="L10" s="53">
        <v>4721.7913841635118</v>
      </c>
    </row>
    <row r="11" spans="1:12" x14ac:dyDescent="0.25">
      <c r="A11" s="52" t="s">
        <v>17</v>
      </c>
      <c r="B11" s="5">
        <v>180.88327332150499</v>
      </c>
      <c r="C11" s="5">
        <v>204.9707984573181</v>
      </c>
      <c r="D11" s="5">
        <v>251.91655496082271</v>
      </c>
      <c r="E11" s="5">
        <v>311.52148801206755</v>
      </c>
      <c r="F11" s="5">
        <v>351.22335604791596</v>
      </c>
      <c r="G11" s="5">
        <v>320.80477836880601</v>
      </c>
      <c r="H11" s="5">
        <v>415.80662936945697</v>
      </c>
      <c r="I11" s="5">
        <v>475.88930185147075</v>
      </c>
      <c r="J11" s="5">
        <v>637.54488301380832</v>
      </c>
      <c r="K11" s="5">
        <v>681.61260335027714</v>
      </c>
      <c r="L11" s="53">
        <v>907.14900175722414</v>
      </c>
    </row>
    <row r="12" spans="1:12" x14ac:dyDescent="0.25">
      <c r="A12" s="52" t="s">
        <v>8</v>
      </c>
      <c r="B12" s="5">
        <v>506.89047297116588</v>
      </c>
      <c r="C12" s="5">
        <v>628.56720280979232</v>
      </c>
      <c r="D12" s="5">
        <v>660.55072360563611</v>
      </c>
      <c r="E12" s="5">
        <v>802.83352899531656</v>
      </c>
      <c r="F12" s="5">
        <v>965.70928171485639</v>
      </c>
      <c r="G12" s="5">
        <v>1063.509114486247</v>
      </c>
      <c r="H12" s="5">
        <v>1316.0878632189185</v>
      </c>
      <c r="I12" s="5">
        <v>1725.3782354839718</v>
      </c>
      <c r="J12" s="5">
        <v>2430.9758401832873</v>
      </c>
      <c r="K12" s="5">
        <v>2744.9884916887177</v>
      </c>
      <c r="L12" s="53">
        <v>3675.3268564570722</v>
      </c>
    </row>
    <row r="13" spans="1:12" x14ac:dyDescent="0.25">
      <c r="A13" s="52" t="s">
        <v>9</v>
      </c>
      <c r="B13" s="5">
        <v>431.61244561159845</v>
      </c>
      <c r="C13" s="5">
        <v>479.33999257511357</v>
      </c>
      <c r="D13" s="5">
        <v>598.21323743323046</v>
      </c>
      <c r="E13" s="5">
        <v>714.25214280883506</v>
      </c>
      <c r="F13" s="5">
        <v>859.27852560581505</v>
      </c>
      <c r="G13" s="5">
        <v>924.23561855959326</v>
      </c>
      <c r="H13" s="5">
        <v>1096.116907051239</v>
      </c>
      <c r="I13" s="5">
        <v>1550.622105488726</v>
      </c>
      <c r="J13" s="5">
        <v>2077.2513092039826</v>
      </c>
      <c r="K13" s="5">
        <v>2541.4459513532038</v>
      </c>
      <c r="L13" s="53">
        <v>3288.5382467193135</v>
      </c>
    </row>
    <row r="14" spans="1:12" x14ac:dyDescent="0.25">
      <c r="A14" s="52" t="s">
        <v>1</v>
      </c>
      <c r="B14" s="5">
        <v>5104.940353256502</v>
      </c>
      <c r="C14" s="5">
        <v>5649.5784929853462</v>
      </c>
      <c r="D14" s="5">
        <v>7035.9667995320133</v>
      </c>
      <c r="E14" s="5">
        <v>8823.0159739286646</v>
      </c>
      <c r="F14" s="5">
        <v>9602.2756629574014</v>
      </c>
      <c r="G14" s="5">
        <v>10476.093522853276</v>
      </c>
      <c r="H14" s="5">
        <v>12894.666908668738</v>
      </c>
      <c r="I14" s="5">
        <v>16926.762944429087</v>
      </c>
      <c r="J14" s="5">
        <v>20598.72931891993</v>
      </c>
      <c r="K14" s="5">
        <v>25115.699628634746</v>
      </c>
      <c r="L14" s="53">
        <v>33695.233482373449</v>
      </c>
    </row>
    <row r="15" spans="1:12" x14ac:dyDescent="0.25">
      <c r="A15" s="52" t="s">
        <v>14</v>
      </c>
      <c r="B15" s="5">
        <v>343.36489460933825</v>
      </c>
      <c r="C15" s="5">
        <v>382.10476560244518</v>
      </c>
      <c r="D15" s="5">
        <v>462.11044442010149</v>
      </c>
      <c r="E15" s="5">
        <v>578.13405291369293</v>
      </c>
      <c r="F15" s="5">
        <v>638.43052543786564</v>
      </c>
      <c r="G15" s="5">
        <v>703.94523458114531</v>
      </c>
      <c r="H15" s="5">
        <v>990.14717070243842</v>
      </c>
      <c r="I15" s="5">
        <v>1209.1137288541229</v>
      </c>
      <c r="J15" s="5">
        <v>1479.8737589211364</v>
      </c>
      <c r="K15" s="5">
        <v>1751.116223236143</v>
      </c>
      <c r="L15" s="53">
        <v>2520.7328595917284</v>
      </c>
    </row>
    <row r="16" spans="1:12" x14ac:dyDescent="0.25">
      <c r="A16" s="52" t="s">
        <v>10</v>
      </c>
      <c r="B16" s="5">
        <v>381.44484198719169</v>
      </c>
      <c r="C16" s="5">
        <v>399.91609835705708</v>
      </c>
      <c r="D16" s="5">
        <v>514.72265779690645</v>
      </c>
      <c r="E16" s="5">
        <v>592.58963596354886</v>
      </c>
      <c r="F16" s="5">
        <v>801.63712970649397</v>
      </c>
      <c r="G16" s="5">
        <v>904.42305326519545</v>
      </c>
      <c r="H16" s="5">
        <v>1369.7906238092528</v>
      </c>
      <c r="I16" s="5">
        <v>1446.6657906791697</v>
      </c>
      <c r="J16" s="5">
        <v>2010.5391311631163</v>
      </c>
      <c r="K16" s="5">
        <v>2216.5124778811337</v>
      </c>
      <c r="L16" s="53">
        <v>3371.6726484092264</v>
      </c>
    </row>
    <row r="17" spans="1:12" x14ac:dyDescent="0.25">
      <c r="A17" s="52" t="s">
        <v>7</v>
      </c>
      <c r="B17" s="5">
        <v>499.9194464117661</v>
      </c>
      <c r="C17" s="5">
        <v>546.20492714075795</v>
      </c>
      <c r="D17" s="5">
        <v>681.54052904381501</v>
      </c>
      <c r="E17" s="5">
        <v>861.59950374387086</v>
      </c>
      <c r="F17" s="5">
        <v>979.56175719964381</v>
      </c>
      <c r="G17" s="5">
        <v>1127.2974331360556</v>
      </c>
      <c r="H17" s="5">
        <v>1552.6579955607517</v>
      </c>
      <c r="I17" s="5">
        <v>1813.6279668715947</v>
      </c>
      <c r="J17" s="5">
        <v>2692.7368097281992</v>
      </c>
      <c r="K17" s="5">
        <v>3331.2957501832625</v>
      </c>
      <c r="L17" s="53">
        <v>4615.5037263634058</v>
      </c>
    </row>
    <row r="18" spans="1:12" x14ac:dyDescent="0.25">
      <c r="A18" s="52" t="s">
        <v>12</v>
      </c>
      <c r="B18" s="5">
        <v>353.22225262577348</v>
      </c>
      <c r="C18" s="5">
        <v>386.59729652051681</v>
      </c>
      <c r="D18" s="5">
        <v>479.96544683135579</v>
      </c>
      <c r="E18" s="5">
        <v>625.65663297194692</v>
      </c>
      <c r="F18" s="5">
        <v>695.04069678168639</v>
      </c>
      <c r="G18" s="5">
        <v>736.91044801968724</v>
      </c>
      <c r="H18" s="5">
        <v>1064.8793836327227</v>
      </c>
      <c r="I18" s="5">
        <v>1419.6903301491127</v>
      </c>
      <c r="J18" s="5">
        <v>1708.5437102254709</v>
      </c>
      <c r="K18" s="5">
        <v>2107.2015932313971</v>
      </c>
      <c r="L18" s="53">
        <v>2867.2320670229601</v>
      </c>
    </row>
    <row r="19" spans="1:12" x14ac:dyDescent="0.25">
      <c r="A19" s="52" t="s">
        <v>16</v>
      </c>
      <c r="B19" s="5">
        <v>210.10402647811796</v>
      </c>
      <c r="C19" s="5">
        <v>239.5149466862855</v>
      </c>
      <c r="D19" s="5">
        <v>300.98425963929583</v>
      </c>
      <c r="E19" s="5">
        <v>347.41288803800177</v>
      </c>
      <c r="F19" s="5">
        <v>422.60866277274926</v>
      </c>
      <c r="G19" s="5">
        <v>414.73561193636453</v>
      </c>
      <c r="H19" s="5">
        <v>500.34254683969448</v>
      </c>
      <c r="I19" s="5">
        <v>500.14506128403133</v>
      </c>
      <c r="J19" s="5">
        <v>725.30863806222555</v>
      </c>
      <c r="K19" s="5">
        <v>1002.8158437836182</v>
      </c>
      <c r="L19" s="53">
        <v>1296.5123413209233</v>
      </c>
    </row>
    <row r="20" spans="1:12" x14ac:dyDescent="0.25">
      <c r="A20" s="52" t="s">
        <v>4</v>
      </c>
      <c r="B20" s="5">
        <v>707.87796425380122</v>
      </c>
      <c r="C20" s="5">
        <v>773.4616908555945</v>
      </c>
      <c r="D20" s="5">
        <v>983.12769172240382</v>
      </c>
      <c r="E20" s="5">
        <v>1234.1700343223761</v>
      </c>
      <c r="F20" s="5">
        <v>1437.9063443845155</v>
      </c>
      <c r="G20" s="5">
        <v>1644.4463211696827</v>
      </c>
      <c r="H20" s="5">
        <v>2150.2468310691584</v>
      </c>
      <c r="I20" s="5">
        <v>2888.2949655115563</v>
      </c>
      <c r="J20" s="5">
        <v>3647.6123695231518</v>
      </c>
      <c r="K20" s="5">
        <v>4618.2159280937731</v>
      </c>
      <c r="L20" s="53">
        <v>6426.3882195118786</v>
      </c>
    </row>
    <row r="21" spans="1:12" ht="15.75" thickBot="1" x14ac:dyDescent="0.3">
      <c r="A21" s="52" t="s">
        <v>2</v>
      </c>
      <c r="B21" s="5">
        <v>3633.4323717225493</v>
      </c>
      <c r="C21" s="5">
        <v>2176.6709484642633</v>
      </c>
      <c r="D21" s="5">
        <v>2342.4163773480936</v>
      </c>
      <c r="E21" s="5">
        <v>2903.5935382188791</v>
      </c>
      <c r="F21" s="5">
        <v>5258.6154172696406</v>
      </c>
      <c r="G21" s="5">
        <v>6545.8300283969611</v>
      </c>
      <c r="H21" s="5">
        <v>5969.4543577186168</v>
      </c>
      <c r="I21" s="5">
        <v>11707.752272039823</v>
      </c>
      <c r="J21" s="5">
        <v>11545.564795039965</v>
      </c>
      <c r="K21" s="5">
        <v>15000.904811563943</v>
      </c>
      <c r="L21" s="53">
        <v>18383.054421011784</v>
      </c>
    </row>
    <row r="22" spans="1:12" ht="15.75" thickBot="1" x14ac:dyDescent="0.3">
      <c r="A22" s="54" t="s">
        <v>19</v>
      </c>
      <c r="B22" s="57">
        <v>16289.040593859669</v>
      </c>
      <c r="C22" s="57">
        <v>15770.474117762647</v>
      </c>
      <c r="D22" s="57">
        <v>19030.151799525604</v>
      </c>
      <c r="E22" s="57">
        <v>23425.935352344088</v>
      </c>
      <c r="F22" s="57">
        <v>28885.718375793658</v>
      </c>
      <c r="G22" s="57">
        <v>32903.285794614261</v>
      </c>
      <c r="H22" s="57">
        <v>38660.725952021479</v>
      </c>
      <c r="I22" s="57">
        <v>54288.719065676982</v>
      </c>
      <c r="J22" s="57">
        <v>64943.670482932495</v>
      </c>
      <c r="K22" s="57">
        <v>81338.187005863103</v>
      </c>
      <c r="L22" s="58">
        <v>107270.31209047075</v>
      </c>
    </row>
  </sheetData>
  <mergeCells count="1">
    <mergeCell ref="A2:L2"/>
  </mergeCells>
  <pageMargins left="0.7" right="0.7" top="0.75" bottom="0.75" header="0.3" footer="0.3"/>
  <pageSetup paperSize="9" scale="6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E78C-5279-4A06-83A9-6F3892B5A67E}">
  <sheetPr>
    <tabColor theme="8" tint="0.39997558519241921"/>
  </sheetPr>
  <dimension ref="A1:L23"/>
  <sheetViews>
    <sheetView showGridLines="0" zoomScale="130" zoomScaleNormal="130" zoomScaleSheetLayoutView="85" workbookViewId="0">
      <selection activeCell="A2" sqref="A2:L2"/>
    </sheetView>
  </sheetViews>
  <sheetFormatPr defaultRowHeight="15" x14ac:dyDescent="0.25"/>
  <cols>
    <col min="1" max="11" width="13.7109375" customWidth="1"/>
    <col min="12" max="12" width="15" bestFit="1" customWidth="1"/>
  </cols>
  <sheetData>
    <row r="1" spans="1:12" ht="15.75" thickBot="1" x14ac:dyDescent="0.3"/>
    <row r="2" spans="1:12" ht="15.75" thickBot="1" x14ac:dyDescent="0.3">
      <c r="A2" s="144" t="s">
        <v>32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6"/>
    </row>
    <row r="3" spans="1:12" x14ac:dyDescent="0.25">
      <c r="A3" s="59" t="s">
        <v>21</v>
      </c>
      <c r="B3" s="60">
        <v>2015</v>
      </c>
      <c r="C3" s="60">
        <v>2016</v>
      </c>
      <c r="D3" s="60">
        <v>2017</v>
      </c>
      <c r="E3" s="60">
        <v>2018</v>
      </c>
      <c r="F3" s="60">
        <v>2019</v>
      </c>
      <c r="G3" s="60">
        <v>2020</v>
      </c>
      <c r="H3" s="60">
        <v>2021</v>
      </c>
      <c r="I3" s="60">
        <v>2022</v>
      </c>
      <c r="J3" s="60">
        <v>2023</v>
      </c>
      <c r="K3" s="60">
        <v>2024</v>
      </c>
      <c r="L3" s="61">
        <v>2025</v>
      </c>
    </row>
    <row r="4" spans="1:12" x14ac:dyDescent="0.25">
      <c r="A4" s="62" t="s">
        <v>15</v>
      </c>
      <c r="B4" s="63">
        <v>11.135029869760245</v>
      </c>
      <c r="C4" s="63">
        <v>23.760953367680713</v>
      </c>
      <c r="D4" s="63">
        <v>22.718520254145176</v>
      </c>
      <c r="E4" s="63">
        <v>9.2534712778944908</v>
      </c>
      <c r="F4" s="63">
        <v>14.706647791179563</v>
      </c>
      <c r="G4" s="63">
        <v>20.267307384433366</v>
      </c>
      <c r="H4" s="63">
        <v>29.377964445349875</v>
      </c>
      <c r="I4" s="63">
        <v>26.495224389536048</v>
      </c>
      <c r="J4" s="63">
        <v>19.382821363562641</v>
      </c>
      <c r="K4" s="63">
        <v>30.428352763422566</v>
      </c>
      <c r="L4" s="64">
        <v>26.638410155465351</v>
      </c>
    </row>
    <row r="5" spans="1:12" x14ac:dyDescent="0.25">
      <c r="A5" s="62" t="s">
        <v>3</v>
      </c>
      <c r="B5" s="63">
        <v>9.2073621543447928</v>
      </c>
      <c r="C5" s="63">
        <v>20.977889971403954</v>
      </c>
      <c r="D5" s="63">
        <v>20.94111919962522</v>
      </c>
      <c r="E5" s="63">
        <v>12.007806521597345</v>
      </c>
      <c r="F5" s="63">
        <v>16.33487879449325</v>
      </c>
      <c r="G5" s="63">
        <v>20.26771378090946</v>
      </c>
      <c r="H5" s="63">
        <v>26.449634687788077</v>
      </c>
      <c r="I5" s="63">
        <v>24.691285793203292</v>
      </c>
      <c r="J5" s="63">
        <v>18.470339571549658</v>
      </c>
      <c r="K5" s="63">
        <v>27.007743005167058</v>
      </c>
      <c r="L5" s="64">
        <v>25.805234531954696</v>
      </c>
    </row>
    <row r="6" spans="1:12" x14ac:dyDescent="0.25">
      <c r="A6" s="62" t="s">
        <v>11</v>
      </c>
      <c r="B6" s="63">
        <v>11.01155730496049</v>
      </c>
      <c r="C6" s="63">
        <v>25.046383862286589</v>
      </c>
      <c r="D6" s="63">
        <v>22.492877965814827</v>
      </c>
      <c r="E6" s="63">
        <v>12.097118845836775</v>
      </c>
      <c r="F6" s="63">
        <v>15.164934686583692</v>
      </c>
      <c r="G6" s="63">
        <v>22.507348955595191</v>
      </c>
      <c r="H6" s="63">
        <v>29.253016042682844</v>
      </c>
      <c r="I6" s="63">
        <v>27.867215258448681</v>
      </c>
      <c r="J6" s="63">
        <v>21.020163449879533</v>
      </c>
      <c r="K6" s="63">
        <v>30.484316439200683</v>
      </c>
      <c r="L6" s="64">
        <v>30.63749822844315</v>
      </c>
    </row>
    <row r="7" spans="1:12" x14ac:dyDescent="0.25">
      <c r="A7" s="62" t="s">
        <v>5</v>
      </c>
      <c r="B7" s="63">
        <v>-23.941676716236742</v>
      </c>
      <c r="C7" s="63">
        <v>17.738827848115307</v>
      </c>
      <c r="D7" s="63">
        <v>29.236941352941074</v>
      </c>
      <c r="E7" s="63">
        <v>51.716069874208983</v>
      </c>
      <c r="F7" s="63">
        <v>24.623971852012431</v>
      </c>
      <c r="G7" s="63">
        <v>8.4343987438635537</v>
      </c>
      <c r="H7" s="63">
        <v>58.994297950029306</v>
      </c>
      <c r="I7" s="63">
        <v>9.1232918762792679</v>
      </c>
      <c r="J7" s="63">
        <v>20.473471459459262</v>
      </c>
      <c r="K7" s="63">
        <v>23.774346842063039</v>
      </c>
      <c r="L7" s="64">
        <v>10.141366058479122</v>
      </c>
    </row>
    <row r="8" spans="1:12" x14ac:dyDescent="0.25">
      <c r="A8" s="62" t="s">
        <v>18</v>
      </c>
      <c r="B8" s="63">
        <v>11.33196229428539</v>
      </c>
      <c r="C8" s="63">
        <v>23.087389171503588</v>
      </c>
      <c r="D8" s="63">
        <v>18.540862741441572</v>
      </c>
      <c r="E8" s="63">
        <v>5.3768644990840357</v>
      </c>
      <c r="F8" s="63">
        <v>14.111571213548444</v>
      </c>
      <c r="G8" s="63">
        <v>14.834564795907056</v>
      </c>
      <c r="H8" s="63">
        <v>20.646757469408826</v>
      </c>
      <c r="I8" s="63">
        <v>18.75944237769906</v>
      </c>
      <c r="J8" s="63">
        <v>15.074715804190973</v>
      </c>
      <c r="K8" s="63">
        <v>26.483185739638856</v>
      </c>
      <c r="L8" s="64">
        <v>20.425975038805603</v>
      </c>
    </row>
    <row r="9" spans="1:12" x14ac:dyDescent="0.25">
      <c r="A9" s="62" t="s">
        <v>13</v>
      </c>
      <c r="B9" s="63">
        <v>10.87487345325664</v>
      </c>
      <c r="C9" s="63">
        <v>24.630418099194841</v>
      </c>
      <c r="D9" s="63">
        <v>23.976827204547462</v>
      </c>
      <c r="E9" s="63">
        <v>11.415165022887592</v>
      </c>
      <c r="F9" s="63">
        <v>15.509017834720254</v>
      </c>
      <c r="G9" s="63">
        <v>21.708959162121118</v>
      </c>
      <c r="H9" s="63">
        <v>28.507894985451173</v>
      </c>
      <c r="I9" s="63">
        <v>26.813803867986067</v>
      </c>
      <c r="J9" s="63">
        <v>19.613779148723324</v>
      </c>
      <c r="K9" s="63">
        <v>30.593994512302316</v>
      </c>
      <c r="L9" s="64">
        <v>29.00602414286044</v>
      </c>
    </row>
    <row r="10" spans="1:12" x14ac:dyDescent="0.25">
      <c r="A10" s="62" t="s">
        <v>6</v>
      </c>
      <c r="B10" s="63">
        <v>10.652607782353812</v>
      </c>
      <c r="C10" s="63">
        <v>24.100953475607284</v>
      </c>
      <c r="D10" s="63">
        <v>23.165719901451183</v>
      </c>
      <c r="E10" s="63">
        <v>12.395092227202227</v>
      </c>
      <c r="F10" s="63">
        <v>14.918960612617511</v>
      </c>
      <c r="G10" s="63">
        <v>21.654368945622963</v>
      </c>
      <c r="H10" s="63">
        <v>29.738842062394866</v>
      </c>
      <c r="I10" s="63">
        <v>27.94994230623638</v>
      </c>
      <c r="J10" s="63">
        <v>20.633388335578573</v>
      </c>
      <c r="K10" s="63">
        <v>29.645304149328098</v>
      </c>
      <c r="L10" s="64">
        <v>30.815195159373815</v>
      </c>
    </row>
    <row r="11" spans="1:12" x14ac:dyDescent="0.25">
      <c r="A11" s="62" t="s">
        <v>17</v>
      </c>
      <c r="B11" s="63">
        <v>13.25130618711448</v>
      </c>
      <c r="C11" s="63">
        <v>22.558097362304366</v>
      </c>
      <c r="D11" s="63">
        <v>17.886743872259146</v>
      </c>
      <c r="E11" s="63">
        <v>6.2279902280334909</v>
      </c>
      <c r="F11" s="63">
        <v>14.967450955987104</v>
      </c>
      <c r="G11" s="63">
        <v>13.857294926187322</v>
      </c>
      <c r="H11" s="63">
        <v>18.400101897923136</v>
      </c>
      <c r="I11" s="63">
        <v>17.321794375123176</v>
      </c>
      <c r="J11" s="63">
        <v>12.649419535211422</v>
      </c>
      <c r="K11" s="63">
        <v>21.991778606592007</v>
      </c>
      <c r="L11" s="64">
        <v>15.172305664434219</v>
      </c>
    </row>
    <row r="12" spans="1:12" x14ac:dyDescent="0.25">
      <c r="A12" s="62" t="s">
        <v>8</v>
      </c>
      <c r="B12" s="63">
        <v>10.193908125877797</v>
      </c>
      <c r="C12" s="63">
        <v>20.698549893785994</v>
      </c>
      <c r="D12" s="63">
        <v>22.170476254772581</v>
      </c>
      <c r="E12" s="63">
        <v>12.204461944337069</v>
      </c>
      <c r="F12" s="63">
        <v>14.315597767592706</v>
      </c>
      <c r="G12" s="63">
        <v>20.558341826506933</v>
      </c>
      <c r="H12" s="63">
        <v>27.508755945641752</v>
      </c>
      <c r="I12" s="63">
        <v>25.207285070889824</v>
      </c>
      <c r="J12" s="63">
        <v>18.717919860697108</v>
      </c>
      <c r="K12" s="63">
        <v>29.969934337601899</v>
      </c>
      <c r="L12" s="64">
        <v>28.368828414067934</v>
      </c>
    </row>
    <row r="13" spans="1:12" x14ac:dyDescent="0.25">
      <c r="A13" s="62" t="s">
        <v>9</v>
      </c>
      <c r="B13" s="63">
        <v>10.388985319347597</v>
      </c>
      <c r="C13" s="63">
        <v>22.741777593899656</v>
      </c>
      <c r="D13" s="63">
        <v>20.830102037876159</v>
      </c>
      <c r="E13" s="63">
        <v>11.224730279318933</v>
      </c>
      <c r="F13" s="63">
        <v>16.570493709105932</v>
      </c>
      <c r="G13" s="63">
        <v>19.821214598453608</v>
      </c>
      <c r="H13" s="63">
        <v>25.211212647203226</v>
      </c>
      <c r="I13" s="63">
        <v>25.346833039222332</v>
      </c>
      <c r="J13" s="63">
        <v>19.280173460318849</v>
      </c>
      <c r="K13" s="63">
        <v>28.642855220876157</v>
      </c>
      <c r="L13" s="64">
        <v>25.723419779127639</v>
      </c>
    </row>
    <row r="14" spans="1:12" x14ac:dyDescent="0.25">
      <c r="A14" s="62" t="s">
        <v>1</v>
      </c>
      <c r="B14" s="63">
        <v>12.346038456716514</v>
      </c>
      <c r="C14" s="63">
        <v>20.229304563717562</v>
      </c>
      <c r="D14" s="63">
        <v>20.325658624772828</v>
      </c>
      <c r="E14" s="63">
        <v>13.224673296142385</v>
      </c>
      <c r="F14" s="63">
        <v>18.180060581522312</v>
      </c>
      <c r="G14" s="63">
        <v>19.267782266190792</v>
      </c>
      <c r="H14" s="63">
        <v>22.375339464149363</v>
      </c>
      <c r="I14" s="63">
        <v>20.849862396415404</v>
      </c>
      <c r="J14" s="63">
        <v>17.596492716403816</v>
      </c>
      <c r="K14" s="63">
        <v>28.562714505168515</v>
      </c>
      <c r="L14" s="64">
        <v>21.115811198104907</v>
      </c>
    </row>
    <row r="15" spans="1:12" x14ac:dyDescent="0.25">
      <c r="A15" s="62" t="s">
        <v>14</v>
      </c>
      <c r="B15" s="63">
        <v>9.1094150101677513</v>
      </c>
      <c r="C15" s="63">
        <v>23.84436951511158</v>
      </c>
      <c r="D15" s="63">
        <v>21.537383543855057</v>
      </c>
      <c r="E15" s="63">
        <v>15.216525302507307</v>
      </c>
      <c r="F15" s="63">
        <v>15.202138089600098</v>
      </c>
      <c r="G15" s="63">
        <v>24.485230241557403</v>
      </c>
      <c r="H15" s="63">
        <v>24.823529408010984</v>
      </c>
      <c r="I15" s="63">
        <v>23.923513722294487</v>
      </c>
      <c r="J15" s="63">
        <v>19.2769099146211</v>
      </c>
      <c r="K15" s="63">
        <v>31.271300969482354</v>
      </c>
      <c r="L15" s="64">
        <v>26.612086876868673</v>
      </c>
    </row>
    <row r="16" spans="1:12" x14ac:dyDescent="0.25">
      <c r="A16" s="62" t="s">
        <v>10</v>
      </c>
      <c r="B16" s="63">
        <v>6.7906546989572547</v>
      </c>
      <c r="C16" s="63">
        <v>25.43541627890778</v>
      </c>
      <c r="D16" s="63">
        <v>18.664354419766397</v>
      </c>
      <c r="E16" s="63">
        <v>20.476340387247376</v>
      </c>
      <c r="F16" s="63">
        <v>21.353819577491876</v>
      </c>
      <c r="G16" s="63">
        <v>45.550671920662523</v>
      </c>
      <c r="H16" s="63">
        <v>15.52004644055296</v>
      </c>
      <c r="I16" s="63">
        <v>20.986957075515633</v>
      </c>
      <c r="J16" s="63">
        <v>17.537059812943554</v>
      </c>
      <c r="K16" s="63">
        <v>39.364349325003644</v>
      </c>
      <c r="L16" s="64">
        <v>10.334321129435239</v>
      </c>
    </row>
    <row r="17" spans="1:12" x14ac:dyDescent="0.25">
      <c r="A17" s="62" t="s">
        <v>22</v>
      </c>
      <c r="B17" s="63">
        <v>11.117214238779653</v>
      </c>
      <c r="C17" s="63">
        <v>24.734803346310841</v>
      </c>
      <c r="D17" s="63">
        <v>25.042455185452567</v>
      </c>
      <c r="E17" s="63">
        <v>12.662167897843915</v>
      </c>
      <c r="F17" s="63">
        <v>14.174129442479</v>
      </c>
      <c r="G17" s="63">
        <v>23.482887598283227</v>
      </c>
      <c r="H17" s="63">
        <v>31.024694836132795</v>
      </c>
      <c r="I17" s="63">
        <v>29.702334820440655</v>
      </c>
      <c r="J17" s="63">
        <v>21.49517180363955</v>
      </c>
      <c r="K17" s="63">
        <v>30.819497442685929</v>
      </c>
      <c r="L17" s="64">
        <v>32.224347799826404</v>
      </c>
    </row>
    <row r="18" spans="1:12" x14ac:dyDescent="0.25">
      <c r="A18" s="62" t="s">
        <v>12</v>
      </c>
      <c r="B18" s="63">
        <v>11.149523099483716</v>
      </c>
      <c r="C18" s="63">
        <v>24.449047433781118</v>
      </c>
      <c r="D18" s="63">
        <v>23.918354459835498</v>
      </c>
      <c r="E18" s="63">
        <v>11.355587522820969</v>
      </c>
      <c r="F18" s="63">
        <v>14.327948735633612</v>
      </c>
      <c r="G18" s="63">
        <v>22.208170621865648</v>
      </c>
      <c r="H18" s="63">
        <v>28.784777198335206</v>
      </c>
      <c r="I18" s="63">
        <v>26.532049541169854</v>
      </c>
      <c r="J18" s="63">
        <v>20.036536847976066</v>
      </c>
      <c r="K18" s="63">
        <v>29.656240691324228</v>
      </c>
      <c r="L18" s="64">
        <v>30.090200085874528</v>
      </c>
    </row>
    <row r="19" spans="1:12" x14ac:dyDescent="0.25">
      <c r="A19" s="62" t="s">
        <v>16</v>
      </c>
      <c r="B19" s="63">
        <v>10.920204389333648</v>
      </c>
      <c r="C19" s="63">
        <v>20.365399768068087</v>
      </c>
      <c r="D19" s="63">
        <v>18.417082553322928</v>
      </c>
      <c r="E19" s="63">
        <v>7.9076521495570944</v>
      </c>
      <c r="F19" s="63">
        <v>16.165859058187038</v>
      </c>
      <c r="G19" s="63">
        <v>16.712076011187449</v>
      </c>
      <c r="H19" s="63">
        <v>22.081435441262414</v>
      </c>
      <c r="I19" s="63">
        <v>21.984152865299336</v>
      </c>
      <c r="J19" s="63">
        <v>16.902255956065005</v>
      </c>
      <c r="K19" s="63">
        <v>25.983055977127691</v>
      </c>
      <c r="L19" s="64">
        <v>21.657563911537466</v>
      </c>
    </row>
    <row r="20" spans="1:12" x14ac:dyDescent="0.25">
      <c r="A20" s="62" t="s">
        <v>4</v>
      </c>
      <c r="B20" s="63">
        <v>11.285561387535253</v>
      </c>
      <c r="C20" s="63">
        <v>24.928639171465107</v>
      </c>
      <c r="D20" s="63">
        <v>25.067567330607972</v>
      </c>
      <c r="E20" s="63">
        <v>12.769905272648003</v>
      </c>
      <c r="F20" s="63">
        <v>13.953336084705199</v>
      </c>
      <c r="G20" s="63">
        <v>23.064270308718321</v>
      </c>
      <c r="H20" s="63">
        <v>31.092258572102196</v>
      </c>
      <c r="I20" s="63">
        <v>28.643916717568402</v>
      </c>
      <c r="J20" s="63">
        <v>21.455365351743268</v>
      </c>
      <c r="K20" s="63">
        <v>30.930214759328095</v>
      </c>
      <c r="L20" s="64">
        <v>32.916699246815085</v>
      </c>
    </row>
    <row r="21" spans="1:12" ht="15.75" thickBot="1" x14ac:dyDescent="0.3">
      <c r="A21" s="62" t="s">
        <v>2</v>
      </c>
      <c r="B21" s="63">
        <v>-39.035279060825076</v>
      </c>
      <c r="C21" s="63">
        <v>16.134100834841419</v>
      </c>
      <c r="D21" s="63">
        <v>36.630209221885735</v>
      </c>
      <c r="E21" s="63">
        <v>90.217183693146097</v>
      </c>
      <c r="F21" s="63">
        <v>33.335678262792612</v>
      </c>
      <c r="G21" s="63">
        <v>0.5929295490402211</v>
      </c>
      <c r="H21" s="63">
        <v>81.046388470302475</v>
      </c>
      <c r="I21" s="63">
        <v>1.7694476847930076</v>
      </c>
      <c r="J21" s="63">
        <v>21.652904066592214</v>
      </c>
      <c r="K21" s="63">
        <v>22.777691177705051</v>
      </c>
      <c r="L21" s="64">
        <v>-1.6980542638583813</v>
      </c>
    </row>
    <row r="22" spans="1:12" ht="15.75" thickBot="1" x14ac:dyDescent="0.3">
      <c r="A22" s="65" t="s">
        <v>19</v>
      </c>
      <c r="B22" s="66">
        <v>-2.9573458292505279</v>
      </c>
      <c r="C22" s="66">
        <v>20.86855384309645</v>
      </c>
      <c r="D22" s="66">
        <v>23.725962596050039</v>
      </c>
      <c r="E22" s="66">
        <v>24.621624209909498</v>
      </c>
      <c r="F22" s="66">
        <v>20.249856267246642</v>
      </c>
      <c r="G22" s="66">
        <v>16.230479871115875</v>
      </c>
      <c r="H22" s="66">
        <v>35.599492976295124</v>
      </c>
      <c r="I22" s="66">
        <v>18.06776539319867</v>
      </c>
      <c r="J22" s="66">
        <v>19.333981381622081</v>
      </c>
      <c r="K22" s="66">
        <v>27.874853912202013</v>
      </c>
      <c r="L22" s="67">
        <v>19.606272549083997</v>
      </c>
    </row>
    <row r="23" spans="1:12" x14ac:dyDescent="0.25">
      <c r="L23" s="2"/>
    </row>
  </sheetData>
  <mergeCells count="1">
    <mergeCell ref="A2:L2"/>
  </mergeCells>
  <pageMargins left="0.7" right="0.7" top="0.75" bottom="0.75" header="0.3" footer="0.3"/>
  <pageSetup paperSize="9" scale="6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C000B-6822-4FE8-B72E-A81027A90E80}">
  <sheetPr>
    <tabColor theme="8" tint="0.39997558519241921"/>
  </sheetPr>
  <dimension ref="A1:L21"/>
  <sheetViews>
    <sheetView showGridLines="0" zoomScale="130" zoomScaleNormal="130" zoomScaleSheetLayoutView="85" workbookViewId="0">
      <selection activeCell="D14" sqref="D14"/>
    </sheetView>
  </sheetViews>
  <sheetFormatPr defaultRowHeight="15" x14ac:dyDescent="0.25"/>
  <cols>
    <col min="1" max="11" width="12.5703125" customWidth="1"/>
    <col min="12" max="12" width="15" bestFit="1" customWidth="1"/>
  </cols>
  <sheetData>
    <row r="1" spans="1:12" ht="15.75" thickBot="1" x14ac:dyDescent="0.3">
      <c r="A1" s="144" t="s">
        <v>47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6"/>
    </row>
    <row r="2" spans="1:12" ht="15.75" thickBot="1" x14ac:dyDescent="0.3">
      <c r="A2" s="54" t="s">
        <v>0</v>
      </c>
      <c r="B2" s="69">
        <v>2015</v>
      </c>
      <c r="C2" s="69">
        <v>2016</v>
      </c>
      <c r="D2" s="69">
        <v>2017</v>
      </c>
      <c r="E2" s="69">
        <v>2018</v>
      </c>
      <c r="F2" s="69">
        <v>2019</v>
      </c>
      <c r="G2" s="69">
        <v>2020</v>
      </c>
      <c r="H2" s="69">
        <v>2021</v>
      </c>
      <c r="I2" s="69">
        <v>2022</v>
      </c>
      <c r="J2" s="69">
        <v>2023</v>
      </c>
      <c r="K2" s="69">
        <v>2024</v>
      </c>
      <c r="L2" s="70">
        <v>2025</v>
      </c>
    </row>
    <row r="3" spans="1:12" x14ac:dyDescent="0.25">
      <c r="A3" s="52" t="s">
        <v>2</v>
      </c>
      <c r="B3" s="6">
        <v>3598.6131108549107</v>
      </c>
      <c r="C3" s="6">
        <v>3979.8183383197015</v>
      </c>
      <c r="D3" s="6">
        <v>4882.1855660381998</v>
      </c>
      <c r="E3" s="6">
        <v>8162.4798888288096</v>
      </c>
      <c r="F3" s="6">
        <v>10037.794903586662</v>
      </c>
      <c r="G3" s="6">
        <v>9133.8936344541635</v>
      </c>
      <c r="H3" s="6">
        <v>14535.191195125804</v>
      </c>
      <c r="I3" s="6">
        <v>15545.992228329702</v>
      </c>
      <c r="J3" s="6">
        <v>17788.815259009603</v>
      </c>
      <c r="K3" s="6">
        <v>26979.502627010927</v>
      </c>
      <c r="L3" s="68">
        <v>25830.314155651115</v>
      </c>
    </row>
    <row r="4" spans="1:12" x14ac:dyDescent="0.25">
      <c r="A4" s="52" t="s">
        <v>5</v>
      </c>
      <c r="B4" s="6">
        <v>1431.6963654917888</v>
      </c>
      <c r="C4" s="6">
        <v>1609.9150344566449</v>
      </c>
      <c r="D4" s="6">
        <v>1937.3917177187629</v>
      </c>
      <c r="E4" s="6">
        <v>2671.9845844253714</v>
      </c>
      <c r="F4" s="6">
        <v>2992.823975064563</v>
      </c>
      <c r="G4" s="6">
        <v>3125.9621407343639</v>
      </c>
      <c r="H4" s="6">
        <v>4006.9124710562751</v>
      </c>
      <c r="I4" s="6">
        <v>4174.7591456278979</v>
      </c>
      <c r="J4" s="6">
        <v>4622.22100440757</v>
      </c>
      <c r="K4" s="6">
        <v>5749.4234583094922</v>
      </c>
      <c r="L4" s="68">
        <v>5883.7647246591696</v>
      </c>
    </row>
    <row r="5" spans="1:12" x14ac:dyDescent="0.25">
      <c r="A5" s="52" t="s">
        <v>13</v>
      </c>
      <c r="B5" s="6">
        <v>757.01729380024972</v>
      </c>
      <c r="C5" s="6">
        <v>925.60762351806773</v>
      </c>
      <c r="D5" s="6">
        <v>1128.3472824708138</v>
      </c>
      <c r="E5" s="6">
        <v>1202.7125162717114</v>
      </c>
      <c r="F5" s="6">
        <v>1382.7669528386893</v>
      </c>
      <c r="G5" s="6">
        <v>1523.4782264573118</v>
      </c>
      <c r="H5" s="6">
        <v>2106.2728891916618</v>
      </c>
      <c r="I5" s="6">
        <v>2521.9661476877827</v>
      </c>
      <c r="J5" s="6">
        <v>3275.4029074178356</v>
      </c>
      <c r="K5" s="6">
        <v>3585.539259777534</v>
      </c>
      <c r="L5" s="68">
        <v>4723.7781177149855</v>
      </c>
    </row>
    <row r="6" spans="1:12" x14ac:dyDescent="0.25">
      <c r="A6" s="52" t="s">
        <v>10</v>
      </c>
      <c r="B6" s="6">
        <v>732.41271418468557</v>
      </c>
      <c r="C6" s="6">
        <v>874.92791916319436</v>
      </c>
      <c r="D6" s="6">
        <v>1033.0752624192369</v>
      </c>
      <c r="E6" s="6">
        <v>1170.6635012863721</v>
      </c>
      <c r="F6" s="6">
        <v>1546.0857866099448</v>
      </c>
      <c r="G6" s="6">
        <v>2027.9262201010633</v>
      </c>
      <c r="H6" s="6">
        <v>2363.8363234098965</v>
      </c>
      <c r="I6" s="6">
        <v>2536.3648761727754</v>
      </c>
      <c r="J6" s="6">
        <v>3323.0612984374552</v>
      </c>
      <c r="K6" s="6">
        <v>3455.5353687087641</v>
      </c>
      <c r="L6" s="68">
        <v>4060.7137890947602</v>
      </c>
    </row>
    <row r="7" spans="1:12" x14ac:dyDescent="0.25">
      <c r="A7" s="52" t="s">
        <v>7</v>
      </c>
      <c r="B7" s="6">
        <v>546.17875276845359</v>
      </c>
      <c r="C7" s="6">
        <v>651.29468028021222</v>
      </c>
      <c r="D7" s="6">
        <v>791.66748934752093</v>
      </c>
      <c r="E7" s="6">
        <v>875.87134429604305</v>
      </c>
      <c r="F7" s="6">
        <v>979.7816954529784</v>
      </c>
      <c r="G7" s="6">
        <v>1183.8047414951172</v>
      </c>
      <c r="H7" s="6">
        <v>1679.6196522575772</v>
      </c>
      <c r="I7" s="6">
        <v>1885.6119017890426</v>
      </c>
      <c r="J7" s="6">
        <v>2546.2369008169162</v>
      </c>
      <c r="K7" s="6">
        <v>3356.814154811811</v>
      </c>
      <c r="L7" s="68">
        <v>4586.9610223327154</v>
      </c>
    </row>
    <row r="8" spans="1:12" x14ac:dyDescent="0.25">
      <c r="A8" s="52" t="s">
        <v>1</v>
      </c>
      <c r="B8" s="6">
        <v>794.83053059056147</v>
      </c>
      <c r="C8" s="6">
        <v>910.40964692964633</v>
      </c>
      <c r="D8" s="6">
        <v>1097.4029899704046</v>
      </c>
      <c r="E8" s="6">
        <v>1252.3439236971406</v>
      </c>
      <c r="F8" s="6">
        <v>1375.8977298471802</v>
      </c>
      <c r="G8" s="6">
        <v>1465.8879494492758</v>
      </c>
      <c r="H8" s="6">
        <v>1792.9587147710129</v>
      </c>
      <c r="I8" s="6">
        <v>2252.906996248048</v>
      </c>
      <c r="J8" s="6">
        <v>2588.0921675733425</v>
      </c>
      <c r="K8" s="6">
        <v>3169.0578438581197</v>
      </c>
      <c r="L8" s="68">
        <v>3908.3373604836174</v>
      </c>
    </row>
    <row r="9" spans="1:12" x14ac:dyDescent="0.25">
      <c r="A9" s="52" t="s">
        <v>15</v>
      </c>
      <c r="B9" s="6">
        <v>789.78921848032212</v>
      </c>
      <c r="C9" s="6">
        <v>920.56728684157792</v>
      </c>
      <c r="D9" s="6">
        <v>1141.2143544615938</v>
      </c>
      <c r="E9" s="6">
        <v>1183.9688523234488</v>
      </c>
      <c r="F9" s="6">
        <v>1214.4283104973804</v>
      </c>
      <c r="G9" s="6">
        <v>1578.6654317002744</v>
      </c>
      <c r="H9" s="6">
        <v>1970.423120546739</v>
      </c>
      <c r="I9" s="6">
        <v>2389.2691542009552</v>
      </c>
      <c r="J9" s="6">
        <v>3138.2809761163867</v>
      </c>
      <c r="K9" s="6">
        <v>3140.2144081526767</v>
      </c>
      <c r="L9" s="68">
        <v>4003.9188396850941</v>
      </c>
    </row>
    <row r="10" spans="1:12" x14ac:dyDescent="0.25">
      <c r="A10" s="52" t="s">
        <v>3</v>
      </c>
      <c r="B10" s="6">
        <v>400.43073529095739</v>
      </c>
      <c r="C10" s="6">
        <v>495.75821664202272</v>
      </c>
      <c r="D10" s="6">
        <v>570.32093133223782</v>
      </c>
      <c r="E10" s="6">
        <v>589.88277515860113</v>
      </c>
      <c r="F10" s="6">
        <v>714.04469412221692</v>
      </c>
      <c r="G10" s="6">
        <v>800.01545296411587</v>
      </c>
      <c r="H10" s="6">
        <v>1020.7499536920774</v>
      </c>
      <c r="I10" s="6">
        <v>1437.8866924443835</v>
      </c>
      <c r="J10" s="6">
        <v>1642.5043819151924</v>
      </c>
      <c r="K10" s="6">
        <v>3015.2994587149328</v>
      </c>
      <c r="L10" s="68">
        <v>3849.8325996697722</v>
      </c>
    </row>
    <row r="11" spans="1:12" x14ac:dyDescent="0.25">
      <c r="A11" s="52" t="s">
        <v>4</v>
      </c>
      <c r="B11" s="6">
        <v>515.60763329831582</v>
      </c>
      <c r="C11" s="6">
        <v>615.21071008492606</v>
      </c>
      <c r="D11" s="6">
        <v>761.17638655827159</v>
      </c>
      <c r="E11" s="6">
        <v>837.38448949322787</v>
      </c>
      <c r="F11" s="6">
        <v>957.75816671622533</v>
      </c>
      <c r="G11" s="6">
        <v>1148.9518457913841</v>
      </c>
      <c r="H11" s="6">
        <v>1554.4012227195303</v>
      </c>
      <c r="I11" s="6">
        <v>1989.9857216026328</v>
      </c>
      <c r="J11" s="6">
        <v>2304.1988575382934</v>
      </c>
      <c r="K11" s="6">
        <v>2996.4694035394168</v>
      </c>
      <c r="L11" s="68">
        <v>4130.4285862852976</v>
      </c>
    </row>
    <row r="12" spans="1:12" x14ac:dyDescent="0.25">
      <c r="A12" s="52" t="s">
        <v>12</v>
      </c>
      <c r="B12" s="6">
        <v>501.64232714546665</v>
      </c>
      <c r="C12" s="6">
        <v>597.39550649529758</v>
      </c>
      <c r="D12" s="6">
        <v>717.25007982008935</v>
      </c>
      <c r="E12" s="6">
        <v>815.56581210993761</v>
      </c>
      <c r="F12" s="6">
        <v>902.49156313415097</v>
      </c>
      <c r="G12" s="6">
        <v>992.15999634921718</v>
      </c>
      <c r="H12" s="6">
        <v>1465.7233018390521</v>
      </c>
      <c r="I12" s="6">
        <v>1862.6242675700084</v>
      </c>
      <c r="J12" s="6">
        <v>2063.1462309238786</v>
      </c>
      <c r="K12" s="6">
        <v>2772.804056302426</v>
      </c>
      <c r="L12" s="68">
        <v>3693.8561255933814</v>
      </c>
    </row>
    <row r="13" spans="1:12" x14ac:dyDescent="0.25">
      <c r="A13" s="52" t="s">
        <v>6</v>
      </c>
      <c r="B13" s="6">
        <v>359.48558952704582</v>
      </c>
      <c r="C13" s="6">
        <v>441.12894969572005</v>
      </c>
      <c r="D13" s="6">
        <v>547.31726664687062</v>
      </c>
      <c r="E13" s="6">
        <v>580.08487479168446</v>
      </c>
      <c r="F13" s="6">
        <v>651.06329947868107</v>
      </c>
      <c r="G13" s="6">
        <v>894.29230231214467</v>
      </c>
      <c r="H13" s="6">
        <v>1133.3288397448589</v>
      </c>
      <c r="I13" s="6">
        <v>1217.9220239636063</v>
      </c>
      <c r="J13" s="6">
        <v>1392.0612169798601</v>
      </c>
      <c r="K13" s="6">
        <v>1982.7296426701419</v>
      </c>
      <c r="L13" s="68">
        <v>2589.0379474683996</v>
      </c>
    </row>
    <row r="14" spans="1:12" x14ac:dyDescent="0.25">
      <c r="A14" s="52" t="s">
        <v>16</v>
      </c>
      <c r="B14" s="6">
        <v>453.00910419744065</v>
      </c>
      <c r="C14" s="6">
        <v>542.14282801687705</v>
      </c>
      <c r="D14" s="6">
        <v>648.19903940401355</v>
      </c>
      <c r="E14" s="6">
        <v>659.1710725921929</v>
      </c>
      <c r="F14" s="6">
        <v>834.37345305956512</v>
      </c>
      <c r="G14" s="6">
        <v>795.28027261793454</v>
      </c>
      <c r="H14" s="6">
        <v>970.55773499101451</v>
      </c>
      <c r="I14" s="6">
        <v>937.89041676396266</v>
      </c>
      <c r="J14" s="6">
        <v>1261.5977129994556</v>
      </c>
      <c r="K14" s="6">
        <v>1548.8124252407276</v>
      </c>
      <c r="L14" s="68">
        <v>1886.8359788343446</v>
      </c>
    </row>
    <row r="15" spans="1:12" x14ac:dyDescent="0.25">
      <c r="A15" s="52" t="s">
        <v>8</v>
      </c>
      <c r="B15" s="6">
        <v>266.90878764542703</v>
      </c>
      <c r="C15" s="6">
        <v>350.96188490282248</v>
      </c>
      <c r="D15" s="6">
        <v>361.22823501888382</v>
      </c>
      <c r="E15" s="6">
        <v>389.99209098072987</v>
      </c>
      <c r="F15" s="6">
        <v>462.05508721821548</v>
      </c>
      <c r="G15" s="6">
        <v>518.71483449109007</v>
      </c>
      <c r="H15" s="6">
        <v>656.28549521238199</v>
      </c>
      <c r="I15" s="6">
        <v>816.72359469411344</v>
      </c>
      <c r="J15" s="6">
        <v>1054.7647084038986</v>
      </c>
      <c r="K15" s="6">
        <v>1325.3305731764785</v>
      </c>
      <c r="L15" s="68">
        <v>1710.2091049900612</v>
      </c>
    </row>
    <row r="16" spans="1:12" x14ac:dyDescent="0.25">
      <c r="A16" s="52" t="s">
        <v>14</v>
      </c>
      <c r="B16" s="6">
        <v>420.62960015463364</v>
      </c>
      <c r="C16" s="6">
        <v>516.04827692922242</v>
      </c>
      <c r="D16" s="6">
        <v>594.85041622075789</v>
      </c>
      <c r="E16" s="6">
        <v>685.16520794718269</v>
      </c>
      <c r="F16" s="6">
        <v>734.68480907919309</v>
      </c>
      <c r="G16" s="6">
        <v>850.26342701006479</v>
      </c>
      <c r="H16" s="6">
        <v>1165.3721931376681</v>
      </c>
      <c r="I16" s="6">
        <v>1373.5267561416754</v>
      </c>
      <c r="J16" s="6">
        <v>1573.6151253023102</v>
      </c>
      <c r="K16" s="6">
        <v>1319.4182009566155</v>
      </c>
      <c r="L16" s="68">
        <v>1787.5268719680678</v>
      </c>
    </row>
    <row r="17" spans="1:12" x14ac:dyDescent="0.25">
      <c r="A17" s="52" t="s">
        <v>11</v>
      </c>
      <c r="B17" s="6">
        <v>254.31580060156477</v>
      </c>
      <c r="C17" s="6">
        <v>313.33064189492802</v>
      </c>
      <c r="D17" s="6">
        <v>360.62185464165657</v>
      </c>
      <c r="E17" s="6">
        <v>396.23157070335049</v>
      </c>
      <c r="F17" s="6">
        <v>499.50175090838883</v>
      </c>
      <c r="G17" s="6">
        <v>491.2241381855232</v>
      </c>
      <c r="H17" s="6">
        <v>720.18243095337039</v>
      </c>
      <c r="I17" s="6">
        <v>900.41262211941739</v>
      </c>
      <c r="J17" s="6">
        <v>1073.5218260867891</v>
      </c>
      <c r="K17" s="6">
        <v>1307.689838344791</v>
      </c>
      <c r="L17" s="68">
        <v>1677.2867956127134</v>
      </c>
    </row>
    <row r="18" spans="1:12" x14ac:dyDescent="0.25">
      <c r="A18" s="52" t="s">
        <v>9</v>
      </c>
      <c r="B18" s="6">
        <v>184.82342049384167</v>
      </c>
      <c r="C18" s="6">
        <v>221.61460354054299</v>
      </c>
      <c r="D18" s="6">
        <v>264.2571045099142</v>
      </c>
      <c r="E18" s="6">
        <v>281.7856429888991</v>
      </c>
      <c r="F18" s="6">
        <v>344.5948537872261</v>
      </c>
      <c r="G18" s="6">
        <v>369.48004429022683</v>
      </c>
      <c r="H18" s="6">
        <v>444.15561171253552</v>
      </c>
      <c r="I18" s="6">
        <v>610.20622019419159</v>
      </c>
      <c r="J18" s="6">
        <v>754.72833266277803</v>
      </c>
      <c r="K18" s="6">
        <v>989.86420228687086</v>
      </c>
      <c r="L18" s="68">
        <v>1221.4650147316465</v>
      </c>
    </row>
    <row r="19" spans="1:12" x14ac:dyDescent="0.25">
      <c r="A19" s="52" t="s">
        <v>18</v>
      </c>
      <c r="B19" s="6">
        <v>295.06388248605163</v>
      </c>
      <c r="C19" s="6">
        <v>347.53940541374965</v>
      </c>
      <c r="D19" s="6">
        <v>416.90182455232474</v>
      </c>
      <c r="E19" s="6">
        <v>421.55918902848322</v>
      </c>
      <c r="F19" s="6">
        <v>513.38564598337302</v>
      </c>
      <c r="G19" s="6">
        <v>441.37285005815454</v>
      </c>
      <c r="H19" s="6">
        <v>623.93104226351306</v>
      </c>
      <c r="I19" s="6">
        <v>713.38570407021723</v>
      </c>
      <c r="J19" s="6">
        <v>820.30700357130684</v>
      </c>
      <c r="K19" s="6">
        <v>889.41608631799841</v>
      </c>
      <c r="L19" s="68">
        <v>1051.6222740795661</v>
      </c>
    </row>
    <row r="20" spans="1:12" ht="15.75" thickBot="1" x14ac:dyDescent="0.3">
      <c r="A20" s="52" t="s">
        <v>17</v>
      </c>
      <c r="B20" s="6">
        <v>200.16480986360708</v>
      </c>
      <c r="C20" s="6">
        <v>238.17738768023901</v>
      </c>
      <c r="D20" s="6">
        <v>273.08334299023903</v>
      </c>
      <c r="E20" s="6">
        <v>295.00655748321691</v>
      </c>
      <c r="F20" s="6">
        <v>348.8515587683703</v>
      </c>
      <c r="G20" s="6">
        <v>305.78582802328435</v>
      </c>
      <c r="H20" s="6">
        <v>399.43261165527417</v>
      </c>
      <c r="I20" s="6">
        <v>439.05723812232071</v>
      </c>
      <c r="J20" s="6">
        <v>547.47482131101253</v>
      </c>
      <c r="K20" s="6">
        <v>460.30985751145022</v>
      </c>
      <c r="L20" s="68">
        <v>564.36707315913623</v>
      </c>
    </row>
    <row r="21" spans="1:12" ht="15.75" thickBot="1" x14ac:dyDescent="0.3">
      <c r="A21" s="54" t="s">
        <v>19</v>
      </c>
      <c r="B21" s="71">
        <v>592.44285408898895</v>
      </c>
      <c r="C21" s="71">
        <v>693.0581918965421</v>
      </c>
      <c r="D21" s="71">
        <v>830.23774204746746</v>
      </c>
      <c r="E21" s="71">
        <v>998.07767999164003</v>
      </c>
      <c r="F21" s="71">
        <v>1151.0985342556448</v>
      </c>
      <c r="G21" s="71">
        <v>1228.6059977512245</v>
      </c>
      <c r="H21" s="71">
        <v>1633.257078742444</v>
      </c>
      <c r="I21" s="71">
        <v>1937.2828053199644</v>
      </c>
      <c r="J21" s="71">
        <v>2273.1182205825562</v>
      </c>
      <c r="K21" s="71">
        <v>2841.4696199760319</v>
      </c>
      <c r="L21" s="72">
        <v>3420.1862638930161</v>
      </c>
    </row>
  </sheetData>
  <mergeCells count="1">
    <mergeCell ref="A1:L1"/>
  </mergeCells>
  <pageMargins left="0.7" right="0.7" top="0.75" bottom="0.75" header="0.3" footer="0.3"/>
  <pageSetup paperSize="9" scale="6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C4929-732E-436D-8A2D-ADA8D3390743}">
  <sheetPr>
    <tabColor theme="8" tint="0.39997558519241921"/>
  </sheetPr>
  <dimension ref="A2:BD23"/>
  <sheetViews>
    <sheetView showGridLines="0" zoomScale="130" zoomScaleNormal="130" zoomScaleSheetLayoutView="85" workbookViewId="0">
      <pane xSplit="1" ySplit="4" topLeftCell="B5" activePane="bottomRight" state="frozen"/>
      <selection pane="topRight" activeCell="B1" sqref="B1"/>
      <selection pane="bottomLeft" activeCell="A6" sqref="A6"/>
      <selection pane="bottomRight" activeCell="B2" sqref="B2"/>
    </sheetView>
  </sheetViews>
  <sheetFormatPr defaultRowHeight="15" x14ac:dyDescent="0.25"/>
  <cols>
    <col min="1" max="55" width="14.140625" customWidth="1"/>
    <col min="56" max="56" width="14.7109375" customWidth="1"/>
  </cols>
  <sheetData>
    <row r="2" spans="1:56" ht="15.75" thickBot="1" x14ac:dyDescent="0.3">
      <c r="A2" s="1"/>
      <c r="B2" s="73" t="s">
        <v>29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</row>
    <row r="3" spans="1:56" x14ac:dyDescent="0.25">
      <c r="A3" s="150" t="s">
        <v>0</v>
      </c>
      <c r="B3" s="148">
        <v>2015</v>
      </c>
      <c r="C3" s="148"/>
      <c r="D3" s="148"/>
      <c r="E3" s="148"/>
      <c r="F3" s="149"/>
      <c r="G3" s="148">
        <v>2016</v>
      </c>
      <c r="H3" s="148"/>
      <c r="I3" s="148"/>
      <c r="J3" s="148"/>
      <c r="K3" s="148"/>
      <c r="L3" s="147">
        <v>2017</v>
      </c>
      <c r="M3" s="148"/>
      <c r="N3" s="148"/>
      <c r="O3" s="148"/>
      <c r="P3" s="149"/>
      <c r="Q3" s="148">
        <v>2018</v>
      </c>
      <c r="R3" s="148"/>
      <c r="S3" s="148"/>
      <c r="T3" s="148"/>
      <c r="U3" s="148"/>
      <c r="V3" s="147">
        <v>2019</v>
      </c>
      <c r="W3" s="148"/>
      <c r="X3" s="148"/>
      <c r="Y3" s="148"/>
      <c r="Z3" s="149"/>
      <c r="AA3" s="148">
        <v>2020</v>
      </c>
      <c r="AB3" s="148"/>
      <c r="AC3" s="148"/>
      <c r="AD3" s="148"/>
      <c r="AE3" s="148"/>
      <c r="AF3" s="147">
        <v>2021</v>
      </c>
      <c r="AG3" s="148"/>
      <c r="AH3" s="148"/>
      <c r="AI3" s="148"/>
      <c r="AJ3" s="149"/>
      <c r="AK3" s="148">
        <v>2022</v>
      </c>
      <c r="AL3" s="148"/>
      <c r="AM3" s="148"/>
      <c r="AN3" s="148"/>
      <c r="AO3" s="148"/>
      <c r="AP3" s="147">
        <v>2023</v>
      </c>
      <c r="AQ3" s="148"/>
      <c r="AR3" s="148"/>
      <c r="AS3" s="148"/>
      <c r="AT3" s="149"/>
      <c r="AU3" s="148">
        <v>2024</v>
      </c>
      <c r="AV3" s="148"/>
      <c r="AW3" s="148"/>
      <c r="AX3" s="148"/>
      <c r="AY3" s="148"/>
      <c r="AZ3" s="147">
        <v>2025</v>
      </c>
      <c r="BA3" s="148"/>
      <c r="BB3" s="148"/>
      <c r="BC3" s="148"/>
      <c r="BD3" s="149"/>
    </row>
    <row r="4" spans="1:56" ht="24.75" thickBot="1" x14ac:dyDescent="0.3">
      <c r="A4" s="151"/>
      <c r="B4" s="9" t="s">
        <v>23</v>
      </c>
      <c r="C4" s="9" t="s">
        <v>24</v>
      </c>
      <c r="D4" s="9" t="s">
        <v>25</v>
      </c>
      <c r="E4" s="10" t="s">
        <v>26</v>
      </c>
      <c r="F4" s="11" t="s">
        <v>27</v>
      </c>
      <c r="G4" s="9" t="s">
        <v>23</v>
      </c>
      <c r="H4" s="9" t="s">
        <v>24</v>
      </c>
      <c r="I4" s="9" t="s">
        <v>25</v>
      </c>
      <c r="J4" s="10" t="s">
        <v>26</v>
      </c>
      <c r="K4" s="10" t="s">
        <v>27</v>
      </c>
      <c r="L4" s="14" t="s">
        <v>23</v>
      </c>
      <c r="M4" s="9" t="s">
        <v>24</v>
      </c>
      <c r="N4" s="9" t="s">
        <v>25</v>
      </c>
      <c r="O4" s="10" t="s">
        <v>26</v>
      </c>
      <c r="P4" s="11" t="s">
        <v>27</v>
      </c>
      <c r="Q4" s="9" t="s">
        <v>23</v>
      </c>
      <c r="R4" s="9" t="s">
        <v>24</v>
      </c>
      <c r="S4" s="9" t="s">
        <v>25</v>
      </c>
      <c r="T4" s="10" t="s">
        <v>26</v>
      </c>
      <c r="U4" s="10" t="s">
        <v>27</v>
      </c>
      <c r="V4" s="14" t="s">
        <v>23</v>
      </c>
      <c r="W4" s="9" t="s">
        <v>24</v>
      </c>
      <c r="X4" s="9" t="s">
        <v>25</v>
      </c>
      <c r="Y4" s="10" t="s">
        <v>26</v>
      </c>
      <c r="Z4" s="11" t="s">
        <v>27</v>
      </c>
      <c r="AA4" s="9" t="s">
        <v>23</v>
      </c>
      <c r="AB4" s="9" t="s">
        <v>24</v>
      </c>
      <c r="AC4" s="9" t="s">
        <v>25</v>
      </c>
      <c r="AD4" s="10" t="s">
        <v>26</v>
      </c>
      <c r="AE4" s="10" t="s">
        <v>27</v>
      </c>
      <c r="AF4" s="14" t="s">
        <v>23</v>
      </c>
      <c r="AG4" s="9" t="s">
        <v>24</v>
      </c>
      <c r="AH4" s="9" t="s">
        <v>25</v>
      </c>
      <c r="AI4" s="10" t="s">
        <v>26</v>
      </c>
      <c r="AJ4" s="11" t="s">
        <v>27</v>
      </c>
      <c r="AK4" s="9" t="s">
        <v>23</v>
      </c>
      <c r="AL4" s="9" t="s">
        <v>24</v>
      </c>
      <c r="AM4" s="9" t="s">
        <v>25</v>
      </c>
      <c r="AN4" s="10" t="s">
        <v>26</v>
      </c>
      <c r="AO4" s="10" t="s">
        <v>27</v>
      </c>
      <c r="AP4" s="14" t="s">
        <v>23</v>
      </c>
      <c r="AQ4" s="9" t="s">
        <v>24</v>
      </c>
      <c r="AR4" s="9" t="s">
        <v>25</v>
      </c>
      <c r="AS4" s="10" t="s">
        <v>26</v>
      </c>
      <c r="AT4" s="11" t="s">
        <v>27</v>
      </c>
      <c r="AU4" s="9" t="s">
        <v>23</v>
      </c>
      <c r="AV4" s="9" t="s">
        <v>24</v>
      </c>
      <c r="AW4" s="9" t="s">
        <v>25</v>
      </c>
      <c r="AX4" s="10" t="s">
        <v>26</v>
      </c>
      <c r="AY4" s="10" t="s">
        <v>27</v>
      </c>
      <c r="AZ4" s="14" t="s">
        <v>23</v>
      </c>
      <c r="BA4" s="9" t="s">
        <v>24</v>
      </c>
      <c r="BB4" s="9" t="s">
        <v>25</v>
      </c>
      <c r="BC4" s="10" t="s">
        <v>26</v>
      </c>
      <c r="BD4" s="11" t="s">
        <v>27</v>
      </c>
    </row>
    <row r="5" spans="1:56" x14ac:dyDescent="0.25">
      <c r="A5" s="12" t="s">
        <v>15</v>
      </c>
      <c r="B5" s="7">
        <v>96864.302315662877</v>
      </c>
      <c r="C5" s="7">
        <v>110676.98879564257</v>
      </c>
      <c r="D5" s="7">
        <v>95336.309619242573</v>
      </c>
      <c r="E5" s="7">
        <v>416.46516104692472</v>
      </c>
      <c r="F5" s="8">
        <v>303294.06589159498</v>
      </c>
      <c r="G5" s="7">
        <v>123582.55020651729</v>
      </c>
      <c r="H5" s="7">
        <v>131938.37892748418</v>
      </c>
      <c r="I5" s="7">
        <v>110467.77172508081</v>
      </c>
      <c r="J5" s="7">
        <v>856.44237999972597</v>
      </c>
      <c r="K5" s="7">
        <v>366845.14323908201</v>
      </c>
      <c r="L5" s="15">
        <v>155658.04723891959</v>
      </c>
      <c r="M5" s="7">
        <v>174052.05884150209</v>
      </c>
      <c r="N5" s="7">
        <v>141183.15197884239</v>
      </c>
      <c r="O5" s="7">
        <v>1111.8577316965643</v>
      </c>
      <c r="P5" s="8">
        <v>472005.11579096067</v>
      </c>
      <c r="Q5" s="7">
        <v>171289.0541620249</v>
      </c>
      <c r="R5" s="7">
        <v>173023.08197579885</v>
      </c>
      <c r="S5" s="7">
        <v>162486.58032415295</v>
      </c>
      <c r="T5" s="7">
        <v>1505.1591552309217</v>
      </c>
      <c r="U5" s="7">
        <v>508303.87561720761</v>
      </c>
      <c r="V5" s="15">
        <v>189606.58371318848</v>
      </c>
      <c r="W5" s="7">
        <v>159334.67636326721</v>
      </c>
      <c r="X5" s="7">
        <v>191003.14950434509</v>
      </c>
      <c r="Y5" s="7">
        <v>1314.1441247766186</v>
      </c>
      <c r="Z5" s="8">
        <v>541258.55370557727</v>
      </c>
      <c r="AA5" s="7">
        <v>258778.72761455982</v>
      </c>
      <c r="AB5" s="7">
        <v>231296.02915433093</v>
      </c>
      <c r="AC5" s="7">
        <v>238687.92450487678</v>
      </c>
      <c r="AD5" s="7">
        <v>1524.7900999159885</v>
      </c>
      <c r="AE5" s="7">
        <v>730287.47137368342</v>
      </c>
      <c r="AF5" s="15">
        <v>385939.50696277496</v>
      </c>
      <c r="AG5" s="7">
        <v>201416.85378375219</v>
      </c>
      <c r="AH5" s="7">
        <v>356810.17288491869</v>
      </c>
      <c r="AI5" s="7">
        <v>1510.4571512734822</v>
      </c>
      <c r="AJ5" s="8">
        <v>945676.99078271934</v>
      </c>
      <c r="AK5" s="7">
        <v>557039.36014443287</v>
      </c>
      <c r="AL5" s="7">
        <v>206215.86127180513</v>
      </c>
      <c r="AM5" s="7">
        <v>425801.32963832479</v>
      </c>
      <c r="AN5" s="7">
        <v>132.88164349055208</v>
      </c>
      <c r="AO5" s="7">
        <v>1189189.4326980535</v>
      </c>
      <c r="AP5" s="15">
        <v>764453.05832923262</v>
      </c>
      <c r="AQ5" s="7">
        <v>339233.76127909904</v>
      </c>
      <c r="AR5" s="7">
        <v>515828.78289664636</v>
      </c>
      <c r="AS5" s="7">
        <v>-266.18210113437476</v>
      </c>
      <c r="AT5" s="8">
        <v>1619249.4204038435</v>
      </c>
      <c r="AU5" s="7">
        <v>1029456.2161785557</v>
      </c>
      <c r="AV5" s="7">
        <v>557708.95631133264</v>
      </c>
      <c r="AW5" s="7">
        <v>662308.63104667002</v>
      </c>
      <c r="AX5" s="7">
        <v>-26.770149084810644</v>
      </c>
      <c r="AY5" s="7">
        <v>2249447.0333874738</v>
      </c>
      <c r="AZ5" s="15">
        <v>1432395.7925106031</v>
      </c>
      <c r="BA5" s="7">
        <v>458917.08472802886</v>
      </c>
      <c r="BB5" s="7">
        <v>1046915.563630414</v>
      </c>
      <c r="BC5" s="7">
        <v>1104.999600048501</v>
      </c>
      <c r="BD5" s="8">
        <v>2939333.4404690946</v>
      </c>
    </row>
    <row r="6" spans="1:56" x14ac:dyDescent="0.25">
      <c r="A6" s="12" t="s">
        <v>3</v>
      </c>
      <c r="B6" s="7">
        <v>171810.68710721785</v>
      </c>
      <c r="C6" s="7">
        <v>213596.23097384739</v>
      </c>
      <c r="D6" s="7">
        <v>526696.31243566435</v>
      </c>
      <c r="E6" s="7">
        <v>6522.1162991085921</v>
      </c>
      <c r="F6" s="8">
        <v>918625.34681583825</v>
      </c>
      <c r="G6" s="7">
        <v>220022.57328762821</v>
      </c>
      <c r="H6" s="7">
        <v>298989.49602534407</v>
      </c>
      <c r="I6" s="7">
        <v>634053.91549775912</v>
      </c>
      <c r="J6" s="7">
        <v>13412.446774183332</v>
      </c>
      <c r="K6" s="7">
        <v>1166478.4315849147</v>
      </c>
      <c r="L6" s="15">
        <v>275267.39528505388</v>
      </c>
      <c r="M6" s="7">
        <v>339924.58243356948</v>
      </c>
      <c r="N6" s="7">
        <v>744203.9427627374</v>
      </c>
      <c r="O6" s="7">
        <v>17412.417922206456</v>
      </c>
      <c r="P6" s="8">
        <v>1376808.3384035672</v>
      </c>
      <c r="Q6" s="7">
        <v>296762.7543440084</v>
      </c>
      <c r="R6" s="7">
        <v>284593.1080856258</v>
      </c>
      <c r="S6" s="7">
        <v>856562.97691934078</v>
      </c>
      <c r="T6" s="7">
        <v>23571.774970098915</v>
      </c>
      <c r="U6" s="7">
        <v>1461490.614319074</v>
      </c>
      <c r="V6" s="15">
        <v>326315.08912127494</v>
      </c>
      <c r="W6" s="7">
        <v>453151.09692031925</v>
      </c>
      <c r="X6" s="7">
        <v>1016121.1402508032</v>
      </c>
      <c r="Y6" s="7">
        <v>20580.35489460222</v>
      </c>
      <c r="Z6" s="8">
        <v>1816167.6811869997</v>
      </c>
      <c r="AA6" s="7">
        <v>432561.37371252454</v>
      </c>
      <c r="AB6" s="7">
        <v>441359.73672555166</v>
      </c>
      <c r="AC6" s="7">
        <v>1191099.2300153938</v>
      </c>
      <c r="AD6" s="7">
        <v>23879.208379355801</v>
      </c>
      <c r="AE6" s="7">
        <v>2088899.5488328259</v>
      </c>
      <c r="AF6" s="15">
        <v>665212.84434777312</v>
      </c>
      <c r="AG6" s="7">
        <v>625332.61140769173</v>
      </c>
      <c r="AH6" s="7">
        <v>1428447.6070136621</v>
      </c>
      <c r="AI6" s="7">
        <v>16250.36389226457</v>
      </c>
      <c r="AJ6" s="8">
        <v>2735243.4266613917</v>
      </c>
      <c r="AK6" s="7">
        <v>1013650.8505109397</v>
      </c>
      <c r="AL6" s="7">
        <v>934403.76091347146</v>
      </c>
      <c r="AM6" s="7">
        <v>2002934.1417927244</v>
      </c>
      <c r="AN6" s="7">
        <v>2193.1303202096051</v>
      </c>
      <c r="AO6" s="7">
        <v>3953181.8835373451</v>
      </c>
      <c r="AP6" s="15">
        <v>1275947.716637485</v>
      </c>
      <c r="AQ6" s="7">
        <v>969538.66668732197</v>
      </c>
      <c r="AR6" s="7">
        <v>2389566.7263308209</v>
      </c>
      <c r="AS6" s="7">
        <v>-2965.7295544622775</v>
      </c>
      <c r="AT6" s="8">
        <v>4632087.3801011657</v>
      </c>
      <c r="AU6" s="7">
        <v>1598387.3619060209</v>
      </c>
      <c r="AV6" s="7">
        <v>1286482.6349956621</v>
      </c>
      <c r="AW6" s="7">
        <v>4949178.8025653828</v>
      </c>
      <c r="AX6" s="7">
        <v>-1392.2863778538442</v>
      </c>
      <c r="AY6" s="7">
        <v>7832656.5130892126</v>
      </c>
      <c r="AZ6" s="15">
        <v>2309262.3879412264</v>
      </c>
      <c r="BA6" s="7">
        <v>1510737.9354744495</v>
      </c>
      <c r="BB6" s="7">
        <v>6406657.3403393915</v>
      </c>
      <c r="BC6" s="7">
        <v>22014.429921915493</v>
      </c>
      <c r="BD6" s="8">
        <v>10248672.093676982</v>
      </c>
    </row>
    <row r="7" spans="1:56" x14ac:dyDescent="0.25">
      <c r="A7" s="12" t="s">
        <v>11</v>
      </c>
      <c r="B7" s="7">
        <v>137064.97833959293</v>
      </c>
      <c r="C7" s="7">
        <v>77729.350000398059</v>
      </c>
      <c r="D7" s="7">
        <v>167915.90859455941</v>
      </c>
      <c r="E7" s="7">
        <v>73.190340894884997</v>
      </c>
      <c r="F7" s="8">
        <v>382783.42727544525</v>
      </c>
      <c r="G7" s="7">
        <v>174707.50650223938</v>
      </c>
      <c r="H7" s="7">
        <v>103553.46598348345</v>
      </c>
      <c r="I7" s="7">
        <v>208130.84216047102</v>
      </c>
      <c r="J7" s="7">
        <v>150.51273338550354</v>
      </c>
      <c r="K7" s="7">
        <v>486542.32737957936</v>
      </c>
      <c r="L7" s="15">
        <v>220271.39431634685</v>
      </c>
      <c r="M7" s="7">
        <v>117897.38633918356</v>
      </c>
      <c r="N7" s="7">
        <v>239591.12288062589</v>
      </c>
      <c r="O7" s="7">
        <v>195.39988940471312</v>
      </c>
      <c r="P7" s="8">
        <v>577955.30342556105</v>
      </c>
      <c r="Q7" s="7">
        <v>247734.05170262724</v>
      </c>
      <c r="R7" s="7">
        <v>116250.30842678295</v>
      </c>
      <c r="S7" s="7">
        <v>291412.93470937468</v>
      </c>
      <c r="T7" s="7">
        <v>264.51939315998578</v>
      </c>
      <c r="U7" s="7">
        <v>655661.81423194485</v>
      </c>
      <c r="V7" s="15">
        <v>278409.71671861329</v>
      </c>
      <c r="W7" s="7">
        <v>199445.58684815702</v>
      </c>
      <c r="X7" s="7">
        <v>375631.66941292991</v>
      </c>
      <c r="Y7" s="7">
        <v>230.95006611266993</v>
      </c>
      <c r="Z7" s="8">
        <v>853717.92304581287</v>
      </c>
      <c r="AA7" s="7">
        <v>378781.64171210874</v>
      </c>
      <c r="AB7" s="7">
        <v>125250.09833031795</v>
      </c>
      <c r="AC7" s="7">
        <v>362954.0504325272</v>
      </c>
      <c r="AD7" s="7">
        <v>267.9693708963631</v>
      </c>
      <c r="AE7" s="7">
        <v>867253.75984585017</v>
      </c>
      <c r="AF7" s="15">
        <v>565426.18566043698</v>
      </c>
      <c r="AG7" s="7">
        <v>119576.58307519781</v>
      </c>
      <c r="AH7" s="7">
        <v>628050.23091210495</v>
      </c>
      <c r="AI7" s="7">
        <v>164.37425661463632</v>
      </c>
      <c r="AJ7" s="8">
        <v>1313217.3739043544</v>
      </c>
      <c r="AK7" s="7">
        <v>799784.23808115534</v>
      </c>
      <c r="AL7" s="7">
        <v>131554.96155841486</v>
      </c>
      <c r="AM7" s="7">
        <v>764176.88410171459</v>
      </c>
      <c r="AN7" s="7">
        <v>51.825384412396744</v>
      </c>
      <c r="AO7" s="7">
        <v>1695567.9091256973</v>
      </c>
      <c r="AP7" s="15">
        <v>1033876.8799617589</v>
      </c>
      <c r="AQ7" s="7">
        <v>144255.23431097774</v>
      </c>
      <c r="AR7" s="7">
        <v>909396.25680582179</v>
      </c>
      <c r="AS7" s="7">
        <v>-24.386423406037729</v>
      </c>
      <c r="AT7" s="8">
        <v>2087503.9846551523</v>
      </c>
      <c r="AU7" s="7">
        <v>1455154.3487382079</v>
      </c>
      <c r="AV7" s="7">
        <v>191435.48031957776</v>
      </c>
      <c r="AW7" s="7">
        <v>1315169.2010751418</v>
      </c>
      <c r="AX7" s="7">
        <v>-6.3956775930423531</v>
      </c>
      <c r="AY7" s="7">
        <v>2961752.6344553344</v>
      </c>
      <c r="AZ7" s="15">
        <v>2051372.7763521303</v>
      </c>
      <c r="BA7" s="7">
        <v>198397.35866629207</v>
      </c>
      <c r="BB7" s="7">
        <v>1643121.1801925406</v>
      </c>
      <c r="BC7" s="7">
        <v>234.89156892683727</v>
      </c>
      <c r="BD7" s="8">
        <v>3893126.2067798893</v>
      </c>
    </row>
    <row r="8" spans="1:56" x14ac:dyDescent="0.25">
      <c r="A8" s="12" t="s">
        <v>5</v>
      </c>
      <c r="B8" s="7">
        <v>71819.698259424753</v>
      </c>
      <c r="C8" s="7">
        <v>723055.07607235457</v>
      </c>
      <c r="D8" s="7">
        <v>259536.88813170785</v>
      </c>
      <c r="E8" s="7">
        <v>1818.0360889834697</v>
      </c>
      <c r="F8" s="8">
        <v>1056229.6985524707</v>
      </c>
      <c r="G8" s="7">
        <v>91822.318975458315</v>
      </c>
      <c r="H8" s="7">
        <v>832717.30355861958</v>
      </c>
      <c r="I8" s="7">
        <v>292310.94747659238</v>
      </c>
      <c r="J8" s="7">
        <v>3738.7116633243622</v>
      </c>
      <c r="K8" s="7">
        <v>1220589.2816739946</v>
      </c>
      <c r="L8" s="15">
        <v>115908.73425372267</v>
      </c>
      <c r="M8" s="7">
        <v>1010448.45528328</v>
      </c>
      <c r="N8" s="7">
        <v>378759.27832150564</v>
      </c>
      <c r="O8" s="7">
        <v>4853.7012722941672</v>
      </c>
      <c r="P8" s="8">
        <v>1509970.1691308024</v>
      </c>
      <c r="Q8" s="7">
        <v>128161.27633251966</v>
      </c>
      <c r="R8" s="7">
        <v>1619254.2040939378</v>
      </c>
      <c r="S8" s="7">
        <v>387272.87549984909</v>
      </c>
      <c r="T8" s="7">
        <v>6570.6184329914777</v>
      </c>
      <c r="U8" s="7">
        <v>2141258.9743592981</v>
      </c>
      <c r="V8" s="15">
        <v>145869.41563915237</v>
      </c>
      <c r="W8" s="7">
        <v>1903684.9627140756</v>
      </c>
      <c r="X8" s="7">
        <v>411223.78908507794</v>
      </c>
      <c r="Y8" s="7">
        <v>5736.7618433280959</v>
      </c>
      <c r="Z8" s="8">
        <v>2466514.9292816338</v>
      </c>
      <c r="AA8" s="7">
        <v>198697.81833868747</v>
      </c>
      <c r="AB8" s="7">
        <v>1598652.5506127989</v>
      </c>
      <c r="AC8" s="7">
        <v>844861.73666226247</v>
      </c>
      <c r="AD8" s="7">
        <v>6656.3153153154917</v>
      </c>
      <c r="AE8" s="7">
        <v>2648868.4209290645</v>
      </c>
      <c r="AF8" s="15">
        <v>281533.84884651238</v>
      </c>
      <c r="AG8" s="7">
        <v>2543107.2661275365</v>
      </c>
      <c r="AH8" s="7">
        <v>660679.10783393844</v>
      </c>
      <c r="AI8" s="7">
        <v>3726.8597515609231</v>
      </c>
      <c r="AJ8" s="8">
        <v>3489047.0825595483</v>
      </c>
      <c r="AK8" s="7">
        <v>443750.67496160453</v>
      </c>
      <c r="AL8" s="7">
        <v>2595434.2793176966</v>
      </c>
      <c r="AM8" s="7">
        <v>693656.03609001986</v>
      </c>
      <c r="AN8" s="7">
        <v>545.9193462129623</v>
      </c>
      <c r="AO8" s="7">
        <v>3733386.9097155337</v>
      </c>
      <c r="AP8" s="15">
        <v>555248.05914728844</v>
      </c>
      <c r="AQ8" s="7">
        <v>2909234.1320441617</v>
      </c>
      <c r="AR8" s="7">
        <v>779371.75970906904</v>
      </c>
      <c r="AS8" s="7">
        <v>-1043.3354187392076</v>
      </c>
      <c r="AT8" s="8">
        <v>4242810.6154817799</v>
      </c>
      <c r="AU8" s="7">
        <v>749159.3711120775</v>
      </c>
      <c r="AV8" s="7">
        <v>3372766.0184852458</v>
      </c>
      <c r="AW8" s="7">
        <v>1072338.2073320255</v>
      </c>
      <c r="AX8" s="7">
        <v>-407.70539386995267</v>
      </c>
      <c r="AY8" s="7">
        <v>5193855.8915354786</v>
      </c>
      <c r="AZ8" s="15">
        <v>1120517.0060587581</v>
      </c>
      <c r="BA8" s="7">
        <v>2933892.0864574024</v>
      </c>
      <c r="BB8" s="7">
        <v>1386165.9927584343</v>
      </c>
      <c r="BC8" s="7">
        <v>6558.3928374427742</v>
      </c>
      <c r="BD8" s="8">
        <v>5447133.4781120373</v>
      </c>
    </row>
    <row r="9" spans="1:56" x14ac:dyDescent="0.25">
      <c r="A9" s="12" t="s">
        <v>18</v>
      </c>
      <c r="B9" s="7">
        <v>13124.633259071572</v>
      </c>
      <c r="C9" s="7">
        <v>93645.920860037382</v>
      </c>
      <c r="D9" s="7">
        <v>55723.870345287913</v>
      </c>
      <c r="E9" s="7">
        <v>82.234018827762142</v>
      </c>
      <c r="F9" s="8">
        <v>162576.65848322463</v>
      </c>
      <c r="G9" s="7">
        <v>16713.195257779676</v>
      </c>
      <c r="H9" s="7">
        <v>119158.62020641105</v>
      </c>
      <c r="I9" s="7">
        <v>61037.549423652454</v>
      </c>
      <c r="J9" s="7">
        <v>169.11066132097281</v>
      </c>
      <c r="K9" s="7">
        <v>197078.47554916417</v>
      </c>
      <c r="L9" s="15">
        <v>21122.538454329722</v>
      </c>
      <c r="M9" s="7">
        <v>141511.73952122085</v>
      </c>
      <c r="N9" s="7">
        <v>80572.234822080616</v>
      </c>
      <c r="O9" s="7">
        <v>219.54424569940471</v>
      </c>
      <c r="P9" s="8">
        <v>243426.05704333057</v>
      </c>
      <c r="Q9" s="7">
        <v>23711.701822419789</v>
      </c>
      <c r="R9" s="7">
        <v>145660.70790181751</v>
      </c>
      <c r="S9" s="7">
        <v>83878.846334490387</v>
      </c>
      <c r="T9" s="7">
        <v>297.20441920973059</v>
      </c>
      <c r="U9" s="7">
        <v>253548.46047793742</v>
      </c>
      <c r="V9" s="15">
        <v>26560.615393517004</v>
      </c>
      <c r="W9" s="7">
        <v>172001.74171433985</v>
      </c>
      <c r="X9" s="7">
        <v>119352.50355190237</v>
      </c>
      <c r="Y9" s="7">
        <v>259.4871379579746</v>
      </c>
      <c r="Z9" s="8">
        <v>318174.34779771726</v>
      </c>
      <c r="AA9" s="7">
        <v>36593.468674801334</v>
      </c>
      <c r="AB9" s="7">
        <v>127351.93262375949</v>
      </c>
      <c r="AC9" s="7">
        <v>117620.8406519616</v>
      </c>
      <c r="AD9" s="7">
        <v>301.08068936587136</v>
      </c>
      <c r="AE9" s="7">
        <v>281867.32263988827</v>
      </c>
      <c r="AF9" s="15">
        <v>53810.933841023434</v>
      </c>
      <c r="AG9" s="7">
        <v>165231.03387506207</v>
      </c>
      <c r="AH9" s="7">
        <v>191273.45913249374</v>
      </c>
      <c r="AI9" s="7">
        <v>129.49820092324043</v>
      </c>
      <c r="AJ9" s="8">
        <v>410444.92504950246</v>
      </c>
      <c r="AK9" s="7">
        <v>75539.445482388197</v>
      </c>
      <c r="AL9" s="7">
        <v>177339.21263864011</v>
      </c>
      <c r="AM9" s="7">
        <v>230353.53079460294</v>
      </c>
      <c r="AN9" s="7">
        <v>36.688592655852048</v>
      </c>
      <c r="AO9" s="7">
        <v>483268.87750828714</v>
      </c>
      <c r="AP9" s="15">
        <v>103653.69837362619</v>
      </c>
      <c r="AQ9" s="7">
        <v>235088.99089783826</v>
      </c>
      <c r="AR9" s="7">
        <v>233397.21085692605</v>
      </c>
      <c r="AS9" s="7">
        <v>-60.25675877176942</v>
      </c>
      <c r="AT9" s="8">
        <v>572079.6433696188</v>
      </c>
      <c r="AU9" s="7">
        <v>140481.66827403774</v>
      </c>
      <c r="AV9" s="7">
        <v>191834.65503124153</v>
      </c>
      <c r="AW9" s="7">
        <v>298483.53679842805</v>
      </c>
      <c r="AX9" s="7">
        <v>-10.736486207637164</v>
      </c>
      <c r="AY9" s="7">
        <v>630789.1236174996</v>
      </c>
      <c r="AZ9" s="15">
        <v>186801.14164287641</v>
      </c>
      <c r="BA9" s="7">
        <v>187815.02407297763</v>
      </c>
      <c r="BB9" s="7">
        <v>389421.90179878066</v>
      </c>
      <c r="BC9" s="7">
        <v>301.09643172523624</v>
      </c>
      <c r="BD9" s="8">
        <v>764339.16394635988</v>
      </c>
    </row>
    <row r="10" spans="1:56" x14ac:dyDescent="0.25">
      <c r="A10" s="12" t="s">
        <v>13</v>
      </c>
      <c r="B10" s="7">
        <v>95140.732368020865</v>
      </c>
      <c r="C10" s="7">
        <v>106067.4697131307</v>
      </c>
      <c r="D10" s="7">
        <v>144363.69086525828</v>
      </c>
      <c r="E10" s="7">
        <v>144.2788208757151</v>
      </c>
      <c r="F10" s="8">
        <v>345716.17176728562</v>
      </c>
      <c r="G10" s="7">
        <v>121268.33917017787</v>
      </c>
      <c r="H10" s="7">
        <v>141557.76298969428</v>
      </c>
      <c r="I10" s="7">
        <v>171154.70516818386</v>
      </c>
      <c r="J10" s="7">
        <v>296.7030817745374</v>
      </c>
      <c r="K10" s="7">
        <v>434277.5104098306</v>
      </c>
      <c r="L10" s="15">
        <v>153132.47500738641</v>
      </c>
      <c r="M10" s="7">
        <v>170065.76232014829</v>
      </c>
      <c r="N10" s="7">
        <v>220530.45758380572</v>
      </c>
      <c r="O10" s="7">
        <v>385.18833630036261</v>
      </c>
      <c r="P10" s="8">
        <v>544113.8832476408</v>
      </c>
      <c r="Q10" s="7">
        <v>171683.22884507198</v>
      </c>
      <c r="R10" s="7">
        <v>162221.16077174933</v>
      </c>
      <c r="S10" s="7">
        <v>261891.06068773131</v>
      </c>
      <c r="T10" s="7">
        <v>521.4423881246006</v>
      </c>
      <c r="U10" s="7">
        <v>596316.89269267733</v>
      </c>
      <c r="V10" s="15">
        <v>193224.8144757681</v>
      </c>
      <c r="W10" s="7">
        <v>203770.27217188658</v>
      </c>
      <c r="X10" s="7">
        <v>307717.92575542489</v>
      </c>
      <c r="Y10" s="7">
        <v>455.26776911395916</v>
      </c>
      <c r="Z10" s="8">
        <v>705168.28017219354</v>
      </c>
      <c r="AA10" s="7">
        <v>264480.8899846042</v>
      </c>
      <c r="AB10" s="7">
        <v>150538.33763295197</v>
      </c>
      <c r="AC10" s="7">
        <v>383621.97888888291</v>
      </c>
      <c r="AD10" s="7">
        <v>528.24326804626764</v>
      </c>
      <c r="AE10" s="7">
        <v>799169.44977448531</v>
      </c>
      <c r="AF10" s="15">
        <v>388243.86807039252</v>
      </c>
      <c r="AG10" s="7">
        <v>178503.03595959223</v>
      </c>
      <c r="AH10" s="7">
        <v>569180.72033355618</v>
      </c>
      <c r="AI10" s="7">
        <v>377.1115349123321</v>
      </c>
      <c r="AJ10" s="8">
        <v>1136304.7358984533</v>
      </c>
      <c r="AK10" s="7">
        <v>557620.5530716615</v>
      </c>
      <c r="AL10" s="7">
        <v>173552.9980979898</v>
      </c>
      <c r="AM10" s="7">
        <v>667804.91643990146</v>
      </c>
      <c r="AN10" s="7">
        <v>79.730854097318669</v>
      </c>
      <c r="AO10" s="7">
        <v>1399058.19846365</v>
      </c>
      <c r="AP10" s="15">
        <v>735351.09898054611</v>
      </c>
      <c r="AQ10" s="7">
        <v>279416.93616416794</v>
      </c>
      <c r="AR10" s="7">
        <v>853530.1696822698</v>
      </c>
      <c r="AS10" s="7">
        <v>-57.517479461600431</v>
      </c>
      <c r="AT10" s="8">
        <v>1868240.6873475222</v>
      </c>
      <c r="AU10" s="7">
        <v>1016247.0980906006</v>
      </c>
      <c r="AV10" s="7">
        <v>304471.54432347009</v>
      </c>
      <c r="AW10" s="7">
        <v>1042515.6296911512</v>
      </c>
      <c r="AX10" s="7">
        <v>-16.373920125813076</v>
      </c>
      <c r="AY10" s="7">
        <v>2363217.8981850957</v>
      </c>
      <c r="AZ10" s="15">
        <v>1474949.3957223375</v>
      </c>
      <c r="BA10" s="7">
        <v>353555.44969688589</v>
      </c>
      <c r="BB10" s="7">
        <v>1361744.4893699314</v>
      </c>
      <c r="BC10" s="7">
        <v>450.10000692827867</v>
      </c>
      <c r="BD10" s="8">
        <v>3190699.4347960833</v>
      </c>
    </row>
    <row r="11" spans="1:56" x14ac:dyDescent="0.25">
      <c r="A11" s="12" t="s">
        <v>6</v>
      </c>
      <c r="B11" s="7">
        <v>250083.42818539645</v>
      </c>
      <c r="C11" s="7">
        <v>163035.87575287686</v>
      </c>
      <c r="D11" s="7">
        <v>283639.05257962825</v>
      </c>
      <c r="E11" s="7">
        <v>249.69095844588787</v>
      </c>
      <c r="F11" s="8">
        <v>697008.04747634754</v>
      </c>
      <c r="G11" s="7">
        <v>319270.51995723875</v>
      </c>
      <c r="H11" s="7">
        <v>224275.94224247598</v>
      </c>
      <c r="I11" s="7">
        <v>335292.24227001902</v>
      </c>
      <c r="J11" s="7">
        <v>513.47853006055902</v>
      </c>
      <c r="K11" s="7">
        <v>879352.18299979437</v>
      </c>
      <c r="L11" s="15">
        <v>400795.11293443502</v>
      </c>
      <c r="M11" s="7">
        <v>299945.34400928702</v>
      </c>
      <c r="N11" s="7">
        <v>420834.69423978892</v>
      </c>
      <c r="O11" s="7">
        <v>666.61235716546628</v>
      </c>
      <c r="P11" s="8">
        <v>1122241.7635406763</v>
      </c>
      <c r="Q11" s="7">
        <v>448731.26256455062</v>
      </c>
      <c r="R11" s="7">
        <v>277956.72667734826</v>
      </c>
      <c r="S11" s="7">
        <v>496388.10094635555</v>
      </c>
      <c r="T11" s="7">
        <v>902.4155373247803</v>
      </c>
      <c r="U11" s="7">
        <v>1223978.5057255791</v>
      </c>
      <c r="V11" s="15">
        <v>502368.88162413321</v>
      </c>
      <c r="W11" s="7">
        <v>296144.30330531159</v>
      </c>
      <c r="X11" s="7">
        <v>614928.20437524142</v>
      </c>
      <c r="Y11" s="7">
        <v>787.89281011319622</v>
      </c>
      <c r="Z11" s="8">
        <v>1414229.2821147996</v>
      </c>
      <c r="AA11" s="7">
        <v>670148.64154699491</v>
      </c>
      <c r="AB11" s="7">
        <v>483119.2335315831</v>
      </c>
      <c r="AC11" s="7">
        <v>845975.11148316623</v>
      </c>
      <c r="AD11" s="7">
        <v>914.18523585440187</v>
      </c>
      <c r="AE11" s="7">
        <v>2000157.1717975987</v>
      </c>
      <c r="AF11" s="15">
        <v>1030746.3604140263</v>
      </c>
      <c r="AG11" s="7">
        <v>587761.96390252595</v>
      </c>
      <c r="AH11" s="7">
        <v>990618.72632135579</v>
      </c>
      <c r="AI11" s="7">
        <v>689.00158047652599</v>
      </c>
      <c r="AJ11" s="8">
        <v>2609816.0522183846</v>
      </c>
      <c r="AK11" s="7">
        <v>1468818.983926788</v>
      </c>
      <c r="AL11" s="7">
        <v>256496.49605775921</v>
      </c>
      <c r="AM11" s="7">
        <v>1162200.7733358575</v>
      </c>
      <c r="AN11" s="7">
        <v>98.918487772432599</v>
      </c>
      <c r="AO11" s="7">
        <v>2887615.1718081771</v>
      </c>
      <c r="AP11" s="15">
        <v>1777333.4081542855</v>
      </c>
      <c r="AQ11" s="7">
        <v>332319.06092201086</v>
      </c>
      <c r="AR11" s="7">
        <v>1288722.385126851</v>
      </c>
      <c r="AS11" s="7">
        <v>-141.83025032844435</v>
      </c>
      <c r="AT11" s="8">
        <v>3398233.0239528189</v>
      </c>
      <c r="AU11" s="7">
        <v>2574292.9500586186</v>
      </c>
      <c r="AV11" s="7">
        <v>467713.56110136188</v>
      </c>
      <c r="AW11" s="7">
        <v>1573780.7095268336</v>
      </c>
      <c r="AX11" s="7">
        <v>-30.060340214968157</v>
      </c>
      <c r="AY11" s="7">
        <v>4615757.1603465993</v>
      </c>
      <c r="AZ11" s="15">
        <v>3480902.3242996777</v>
      </c>
      <c r="BA11" s="7">
        <v>444200.06807680556</v>
      </c>
      <c r="BB11" s="7">
        <v>2250941.9077388556</v>
      </c>
      <c r="BC11" s="7">
        <v>776.31409665605645</v>
      </c>
      <c r="BD11" s="8">
        <v>6176820.6142119952</v>
      </c>
    </row>
    <row r="12" spans="1:56" x14ac:dyDescent="0.25">
      <c r="A12" s="12" t="s">
        <v>17</v>
      </c>
      <c r="B12" s="7">
        <v>5293.6651126390907</v>
      </c>
      <c r="C12" s="7">
        <v>117903.99704080209</v>
      </c>
      <c r="D12" s="7">
        <v>77772.181917901049</v>
      </c>
      <c r="E12" s="7">
        <v>3882.8256392705812</v>
      </c>
      <c r="F12" s="8">
        <v>204852.66971061283</v>
      </c>
      <c r="G12" s="7">
        <v>6752.0678900557068</v>
      </c>
      <c r="H12" s="7">
        <v>146615.78367628832</v>
      </c>
      <c r="I12" s="7">
        <v>89855.598148893216</v>
      </c>
      <c r="J12" s="7">
        <v>7984.8610223753303</v>
      </c>
      <c r="K12" s="7">
        <v>251208.31073761257</v>
      </c>
      <c r="L12" s="15">
        <v>8701.3358727432005</v>
      </c>
      <c r="M12" s="7">
        <v>175278.02520987543</v>
      </c>
      <c r="N12" s="7">
        <v>102630.69031617593</v>
      </c>
      <c r="O12" s="7">
        <v>10366.172519689399</v>
      </c>
      <c r="P12" s="8">
        <v>296976.22391848394</v>
      </c>
      <c r="Q12" s="7">
        <v>9343.6418805175472</v>
      </c>
      <c r="R12" s="7">
        <v>190649.26262008314</v>
      </c>
      <c r="S12" s="7">
        <v>116897.07543577687</v>
      </c>
      <c r="T12" s="7">
        <v>14033.035907306001</v>
      </c>
      <c r="U12" s="7">
        <v>330923.01584368356</v>
      </c>
      <c r="V12" s="15">
        <v>10782.580559809485</v>
      </c>
      <c r="W12" s="7">
        <v>214095.15913166103</v>
      </c>
      <c r="X12" s="7">
        <v>166662.65261189156</v>
      </c>
      <c r="Y12" s="7">
        <v>12252.147306997724</v>
      </c>
      <c r="Z12" s="8">
        <v>403792.53961035982</v>
      </c>
      <c r="AA12" s="7">
        <v>15940.525872171016</v>
      </c>
      <c r="AB12" s="7">
        <v>165135.78573671167</v>
      </c>
      <c r="AC12" s="7">
        <v>169967.27013029566</v>
      </c>
      <c r="AD12" s="7">
        <v>14216.060905494725</v>
      </c>
      <c r="AE12" s="7">
        <v>365259.64264467306</v>
      </c>
      <c r="AF12" s="15">
        <v>18302.724206964533</v>
      </c>
      <c r="AG12" s="7">
        <v>245093.76417821125</v>
      </c>
      <c r="AH12" s="7">
        <v>221319.18705573704</v>
      </c>
      <c r="AI12" s="7">
        <v>7599.797430843787</v>
      </c>
      <c r="AJ12" s="8">
        <v>492315.47287175665</v>
      </c>
      <c r="AK12" s="7">
        <v>33400.850326176442</v>
      </c>
      <c r="AL12" s="7">
        <v>267171.69661520846</v>
      </c>
      <c r="AM12" s="7">
        <v>256489.49373711646</v>
      </c>
      <c r="AN12" s="7">
        <v>1259.8274928904175</v>
      </c>
      <c r="AO12" s="7">
        <v>558321.86817139178</v>
      </c>
      <c r="AP12" s="15">
        <v>54019.407983025252</v>
      </c>
      <c r="AQ12" s="7">
        <v>374305.74020485999</v>
      </c>
      <c r="AR12" s="7">
        <v>292044.82433414902</v>
      </c>
      <c r="AS12" s="7">
        <v>-2179.36253053665</v>
      </c>
      <c r="AT12" s="8">
        <v>718190.60999149771</v>
      </c>
      <c r="AU12" s="7">
        <v>61190.72267362148</v>
      </c>
      <c r="AV12" s="7">
        <v>379755.26255536679</v>
      </c>
      <c r="AW12" s="7">
        <v>391434.78660165251</v>
      </c>
      <c r="AX12" s="7">
        <v>-869.43379694230873</v>
      </c>
      <c r="AY12" s="7">
        <v>831511.33803369838</v>
      </c>
      <c r="AZ12" s="15">
        <v>88707.699805794633</v>
      </c>
      <c r="BA12" s="7">
        <v>417856.32246256876</v>
      </c>
      <c r="BB12" s="7">
        <v>524075.94663943513</v>
      </c>
      <c r="BC12" s="7">
        <v>14144.452227895352</v>
      </c>
      <c r="BD12" s="8">
        <v>1044784.4211356939</v>
      </c>
    </row>
    <row r="13" spans="1:56" x14ac:dyDescent="0.25">
      <c r="A13" s="12" t="s">
        <v>8</v>
      </c>
      <c r="B13" s="7">
        <v>130868.33627440975</v>
      </c>
      <c r="C13" s="7">
        <v>141760.1766630917</v>
      </c>
      <c r="D13" s="7">
        <v>285604.3567764808</v>
      </c>
      <c r="E13" s="7">
        <v>329.5523706916739</v>
      </c>
      <c r="F13" s="8">
        <v>558562.42208467389</v>
      </c>
      <c r="G13" s="7">
        <v>166903.72451679397</v>
      </c>
      <c r="H13" s="7">
        <v>151339.53913152838</v>
      </c>
      <c r="I13" s="7">
        <v>439750.52522126358</v>
      </c>
      <c r="J13" s="7">
        <v>677.71002976627801</v>
      </c>
      <c r="K13" s="7">
        <v>758671.49889935215</v>
      </c>
      <c r="L13" s="15">
        <v>209830.12832793532</v>
      </c>
      <c r="M13" s="7">
        <v>188761.40411380705</v>
      </c>
      <c r="N13" s="7">
        <v>407526.61015441525</v>
      </c>
      <c r="O13" s="7">
        <v>879.82233719469389</v>
      </c>
      <c r="P13" s="8">
        <v>806997.96493335231</v>
      </c>
      <c r="Q13" s="7">
        <v>236959.7065240735</v>
      </c>
      <c r="R13" s="7">
        <v>185558.44190943573</v>
      </c>
      <c r="S13" s="7">
        <v>477105.84803607065</v>
      </c>
      <c r="T13" s="7">
        <v>1191.0450483485652</v>
      </c>
      <c r="U13" s="7">
        <v>900815.04151792848</v>
      </c>
      <c r="V13" s="15">
        <v>266454.25646586949</v>
      </c>
      <c r="W13" s="7">
        <v>190565.81679051014</v>
      </c>
      <c r="X13" s="7">
        <v>645896.37157847965</v>
      </c>
      <c r="Y13" s="7">
        <v>1039.89325460497</v>
      </c>
      <c r="Z13" s="8">
        <v>1103956.3380894642</v>
      </c>
      <c r="AA13" s="7">
        <v>357807.93036350032</v>
      </c>
      <c r="AB13" s="7">
        <v>256792.12670279376</v>
      </c>
      <c r="AC13" s="7">
        <v>666342.31735276524</v>
      </c>
      <c r="AD13" s="7">
        <v>1206.5791793275355</v>
      </c>
      <c r="AE13" s="7">
        <v>1282148.9535983868</v>
      </c>
      <c r="AF13" s="15">
        <v>547393.43432402599</v>
      </c>
      <c r="AG13" s="7">
        <v>240446.90456173447</v>
      </c>
      <c r="AH13" s="7">
        <v>889132.42867873772</v>
      </c>
      <c r="AI13" s="7">
        <v>1154.4939775238249</v>
      </c>
      <c r="AJ13" s="8">
        <v>1678127.261542022</v>
      </c>
      <c r="AK13" s="7">
        <v>766656.11440866557</v>
      </c>
      <c r="AL13" s="7">
        <v>292348.93625298509</v>
      </c>
      <c r="AM13" s="7">
        <v>1101146.3042022916</v>
      </c>
      <c r="AN13" s="7">
        <v>147.89098956330375</v>
      </c>
      <c r="AO13" s="7">
        <v>2160299.245853506</v>
      </c>
      <c r="AP13" s="15">
        <v>937577.20430871006</v>
      </c>
      <c r="AQ13" s="7">
        <v>258174.82755338785</v>
      </c>
      <c r="AR13" s="7">
        <v>1690349.9193723225</v>
      </c>
      <c r="AS13" s="7">
        <v>-98.001452717681047</v>
      </c>
      <c r="AT13" s="8">
        <v>2886003.9497817028</v>
      </c>
      <c r="AU13" s="7">
        <v>1373618.2111032996</v>
      </c>
      <c r="AV13" s="7">
        <v>299430.36955244682</v>
      </c>
      <c r="AW13" s="7">
        <v>1894654.5308200868</v>
      </c>
      <c r="AX13" s="7">
        <v>-43.371253278710896</v>
      </c>
      <c r="AY13" s="7">
        <v>3567659.7402225547</v>
      </c>
      <c r="AZ13" s="15">
        <v>1955033.3950694033</v>
      </c>
      <c r="BA13" s="7">
        <v>351618.02646125434</v>
      </c>
      <c r="BB13" s="7">
        <v>2410413.2505837926</v>
      </c>
      <c r="BC13" s="7">
        <v>909.35390708524369</v>
      </c>
      <c r="BD13" s="8">
        <v>4717974.0260215355</v>
      </c>
    </row>
    <row r="14" spans="1:56" x14ac:dyDescent="0.25">
      <c r="A14" s="12" t="s">
        <v>9</v>
      </c>
      <c r="B14" s="7">
        <v>87348.514369385317</v>
      </c>
      <c r="C14" s="7">
        <v>127073.27125071823</v>
      </c>
      <c r="D14" s="7">
        <v>260881.96053016771</v>
      </c>
      <c r="E14" s="7">
        <v>1148.8530723933802</v>
      </c>
      <c r="F14" s="8">
        <v>476452.59922266466</v>
      </c>
      <c r="G14" s="7">
        <v>111445.94473146474</v>
      </c>
      <c r="H14" s="7">
        <v>161771.78129729861</v>
      </c>
      <c r="I14" s="7">
        <v>312770.13550456305</v>
      </c>
      <c r="J14" s="7">
        <v>2362.5660718345689</v>
      </c>
      <c r="K14" s="7">
        <v>588350.42760516086</v>
      </c>
      <c r="L14" s="15">
        <v>142182.42890727156</v>
      </c>
      <c r="M14" s="7">
        <v>199519.70854930318</v>
      </c>
      <c r="N14" s="7">
        <v>378052.37761221407</v>
      </c>
      <c r="O14" s="7">
        <v>3067.1501258661283</v>
      </c>
      <c r="P14" s="8">
        <v>722821.66519465495</v>
      </c>
      <c r="Q14" s="7">
        <v>155659.00886972094</v>
      </c>
      <c r="R14" s="7">
        <v>191270.79898948007</v>
      </c>
      <c r="S14" s="7">
        <v>443343.10735279054</v>
      </c>
      <c r="T14" s="7">
        <v>4152.1041413911516</v>
      </c>
      <c r="U14" s="7">
        <v>794425.01935338264</v>
      </c>
      <c r="V14" s="15">
        <v>178063.09110330674</v>
      </c>
      <c r="W14" s="7">
        <v>301024.09570551908</v>
      </c>
      <c r="X14" s="7">
        <v>518952.8592065805</v>
      </c>
      <c r="Y14" s="7">
        <v>3625.1736196181305</v>
      </c>
      <c r="Z14" s="8">
        <v>1001665.2196350244</v>
      </c>
      <c r="AA14" s="7">
        <v>253026.60123501223</v>
      </c>
      <c r="AB14" s="7">
        <v>241455.34215558</v>
      </c>
      <c r="AC14" s="7">
        <v>608742.14281758247</v>
      </c>
      <c r="AD14" s="7">
        <v>4206.2577014602075</v>
      </c>
      <c r="AE14" s="7">
        <v>1107430.343909635</v>
      </c>
      <c r="AF14" s="15">
        <v>326272.47464913281</v>
      </c>
      <c r="AG14" s="7">
        <v>223288.61481006572</v>
      </c>
      <c r="AH14" s="7">
        <v>818927.15279885498</v>
      </c>
      <c r="AI14" s="7">
        <v>3973.0290918201918</v>
      </c>
      <c r="AJ14" s="8">
        <v>1372461.2713498736</v>
      </c>
      <c r="AK14" s="7">
        <v>538543.63162078371</v>
      </c>
      <c r="AL14" s="7">
        <v>280603.79315859778</v>
      </c>
      <c r="AM14" s="7">
        <v>1123995.4327875695</v>
      </c>
      <c r="AN14" s="7">
        <v>512.84406927668283</v>
      </c>
      <c r="AO14" s="7">
        <v>1943655.7016362275</v>
      </c>
      <c r="AP14" s="15">
        <v>777132.46139997616</v>
      </c>
      <c r="AQ14" s="7">
        <v>285102.45731029689</v>
      </c>
      <c r="AR14" s="7">
        <v>1415913.917418546</v>
      </c>
      <c r="AS14" s="7">
        <v>-399.87130356409051</v>
      </c>
      <c r="AT14" s="8">
        <v>2477748.9648252549</v>
      </c>
      <c r="AU14" s="7">
        <v>969711.76049717586</v>
      </c>
      <c r="AV14" s="7">
        <v>482505.62488713069</v>
      </c>
      <c r="AW14" s="7">
        <v>1817306.9322438189</v>
      </c>
      <c r="AX14" s="7">
        <v>-135.68191200500152</v>
      </c>
      <c r="AY14" s="7">
        <v>3269388.6357161207</v>
      </c>
      <c r="AZ14" s="15">
        <v>1444897.5716651208</v>
      </c>
      <c r="BA14" s="7">
        <v>565570.80359715398</v>
      </c>
      <c r="BB14" s="7">
        <v>2120819.631127065</v>
      </c>
      <c r="BC14" s="7">
        <v>3174.738130746523</v>
      </c>
      <c r="BD14" s="8">
        <v>4134462.7445200863</v>
      </c>
    </row>
    <row r="15" spans="1:56" x14ac:dyDescent="0.25">
      <c r="A15" s="12" t="s">
        <v>1</v>
      </c>
      <c r="B15" s="7">
        <v>124216.88380356881</v>
      </c>
      <c r="C15" s="7">
        <v>1105510.6906983382</v>
      </c>
      <c r="D15" s="7">
        <v>4275905.3181523951</v>
      </c>
      <c r="E15" s="7">
        <v>229565.35980768938</v>
      </c>
      <c r="F15" s="8">
        <v>5735198.2524619913</v>
      </c>
      <c r="G15" s="7">
        <v>158858.79056816074</v>
      </c>
      <c r="H15" s="7">
        <v>1401993.5992205029</v>
      </c>
      <c r="I15" s="7">
        <v>4759505.4259914029</v>
      </c>
      <c r="J15" s="7">
        <v>472091.11711756885</v>
      </c>
      <c r="K15" s="7">
        <v>6792448.9328976357</v>
      </c>
      <c r="L15" s="15">
        <v>194479.86754223908</v>
      </c>
      <c r="M15" s="7">
        <v>1655875.5750380147</v>
      </c>
      <c r="N15" s="7">
        <v>6002835.9029965699</v>
      </c>
      <c r="O15" s="7">
        <v>612882.04658041929</v>
      </c>
      <c r="P15" s="8">
        <v>8466073.3921572436</v>
      </c>
      <c r="Q15" s="7">
        <v>205236.98246244682</v>
      </c>
      <c r="R15" s="7">
        <v>2002973.0910595392</v>
      </c>
      <c r="S15" s="7">
        <v>6951941.9265729412</v>
      </c>
      <c r="T15" s="7">
        <v>829679.01125225658</v>
      </c>
      <c r="U15" s="7">
        <v>9989831.011347184</v>
      </c>
      <c r="V15" s="15">
        <v>204660.88725079063</v>
      </c>
      <c r="W15" s="7">
        <v>2207476.9781269655</v>
      </c>
      <c r="X15" s="7">
        <v>8211450.2817388903</v>
      </c>
      <c r="Y15" s="7">
        <v>724387.04857118602</v>
      </c>
      <c r="Z15" s="8">
        <v>11347975.195687832</v>
      </c>
      <c r="AA15" s="7">
        <v>254651.28654717197</v>
      </c>
      <c r="AB15" s="7">
        <v>2387371.6529402332</v>
      </c>
      <c r="AC15" s="7">
        <v>9012081.4251881205</v>
      </c>
      <c r="AD15" s="7">
        <v>840500.04816363577</v>
      </c>
      <c r="AE15" s="7">
        <v>12494604.412839161</v>
      </c>
      <c r="AF15" s="15">
        <v>519300.17937223124</v>
      </c>
      <c r="AG15" s="7">
        <v>3104684.2773918761</v>
      </c>
      <c r="AH15" s="7">
        <v>11622788.101427265</v>
      </c>
      <c r="AI15" s="7">
        <v>533119.8440633273</v>
      </c>
      <c r="AJ15" s="8">
        <v>15779892.402254699</v>
      </c>
      <c r="AK15" s="7">
        <v>603468.87795587326</v>
      </c>
      <c r="AL15" s="7">
        <v>4508746.343588409</v>
      </c>
      <c r="AM15" s="7">
        <v>15259205.512550799</v>
      </c>
      <c r="AN15" s="7">
        <v>84548.99241490796</v>
      </c>
      <c r="AO15" s="7">
        <v>20455969.726509988</v>
      </c>
      <c r="AP15" s="15">
        <v>826474.73760042142</v>
      </c>
      <c r="AQ15" s="7">
        <v>5747788.5161293242</v>
      </c>
      <c r="AR15" s="7">
        <v>17768497.597149089</v>
      </c>
      <c r="AS15" s="7">
        <v>-119377.62768342056</v>
      </c>
      <c r="AT15" s="8">
        <v>24223383.223195415</v>
      </c>
      <c r="AU15" s="7">
        <v>1145076.6411172517</v>
      </c>
      <c r="AV15" s="7">
        <v>7146622.8533264725</v>
      </c>
      <c r="AW15" s="7">
        <v>24040681.136540618</v>
      </c>
      <c r="AX15" s="7">
        <v>-42955.421446980945</v>
      </c>
      <c r="AY15" s="7">
        <v>32289425.209537361</v>
      </c>
      <c r="AZ15" s="15">
        <v>1487280.1670829921</v>
      </c>
      <c r="BA15" s="7">
        <v>8844315.8487116005</v>
      </c>
      <c r="BB15" s="7">
        <v>29695837.912384577</v>
      </c>
      <c r="BC15" s="7">
        <v>782821.43909286836</v>
      </c>
      <c r="BD15" s="8">
        <v>40810255.367272034</v>
      </c>
    </row>
    <row r="16" spans="1:56" x14ac:dyDescent="0.25">
      <c r="A16" s="12" t="s">
        <v>14</v>
      </c>
      <c r="B16" s="7">
        <v>95528.270899164374</v>
      </c>
      <c r="C16" s="7">
        <v>131931.22571267938</v>
      </c>
      <c r="D16" s="7">
        <v>147120.33133455206</v>
      </c>
      <c r="E16" s="7">
        <v>63.599912132309576</v>
      </c>
      <c r="F16" s="8">
        <v>374643.42785852816</v>
      </c>
      <c r="G16" s="7">
        <v>121490.56779643845</v>
      </c>
      <c r="H16" s="7">
        <v>172222.84768093884</v>
      </c>
      <c r="I16" s="7">
        <v>179371.03193387232</v>
      </c>
      <c r="J16" s="7">
        <v>130.79043629349673</v>
      </c>
      <c r="K16" s="7">
        <v>473215.23784754315</v>
      </c>
      <c r="L16" s="15">
        <v>153501.6696002598</v>
      </c>
      <c r="M16" s="7">
        <v>182870.11045127749</v>
      </c>
      <c r="N16" s="7">
        <v>225095.3673342788</v>
      </c>
      <c r="O16" s="7">
        <v>169.79584525574015</v>
      </c>
      <c r="P16" s="8">
        <v>561636.94323107181</v>
      </c>
      <c r="Q16" s="7">
        <v>173052.36317332051</v>
      </c>
      <c r="R16" s="7">
        <v>223566.41178671492</v>
      </c>
      <c r="S16" s="7">
        <v>269257.33405904501</v>
      </c>
      <c r="T16" s="7">
        <v>229.8583386355381</v>
      </c>
      <c r="U16" s="7">
        <v>666105.96735771594</v>
      </c>
      <c r="V16" s="15">
        <v>192242.4641069897</v>
      </c>
      <c r="W16" s="7">
        <v>238233.70212489995</v>
      </c>
      <c r="X16" s="7">
        <v>304808.76155182725</v>
      </c>
      <c r="Y16" s="7">
        <v>200.6877373725064</v>
      </c>
      <c r="Z16" s="8">
        <v>735485.61552108941</v>
      </c>
      <c r="AA16" s="7">
        <v>265643.34630752308</v>
      </c>
      <c r="AB16" s="7">
        <v>218195.15632989939</v>
      </c>
      <c r="AC16" s="7">
        <v>392236.487153664</v>
      </c>
      <c r="AD16" s="7">
        <v>232.85625172364826</v>
      </c>
      <c r="AE16" s="7">
        <v>876307.84604281001</v>
      </c>
      <c r="AF16" s="15">
        <v>397848.20155559719</v>
      </c>
      <c r="AG16" s="7">
        <v>249264.70064922018</v>
      </c>
      <c r="AH16" s="7">
        <v>588628.52390228387</v>
      </c>
      <c r="AI16" s="7">
        <v>195.21869724519337</v>
      </c>
      <c r="AJ16" s="8">
        <v>1235936.6448043464</v>
      </c>
      <c r="AK16" s="7">
        <v>533268.24678564549</v>
      </c>
      <c r="AL16" s="7">
        <v>276429.09069555561</v>
      </c>
      <c r="AM16" s="7">
        <v>688657.26860659034</v>
      </c>
      <c r="AN16" s="7">
        <v>21.611606893580074</v>
      </c>
      <c r="AO16" s="7">
        <v>1498376.2176946851</v>
      </c>
      <c r="AP16" s="15">
        <v>759205.18021549727</v>
      </c>
      <c r="AQ16" s="7">
        <v>321054.10556934524</v>
      </c>
      <c r="AR16" s="7">
        <v>684917.9468913353</v>
      </c>
      <c r="AS16" s="7">
        <v>-29.542397696843707</v>
      </c>
      <c r="AT16" s="8">
        <v>1765147.690278481</v>
      </c>
      <c r="AU16" s="7">
        <v>1019184.5587242913</v>
      </c>
      <c r="AV16" s="7">
        <v>340492.54229285894</v>
      </c>
      <c r="AW16" s="7">
        <v>939046.22827756079</v>
      </c>
      <c r="AX16" s="7">
        <v>-10.281564961944063</v>
      </c>
      <c r="AY16" s="7">
        <v>2298713.0477297488</v>
      </c>
      <c r="AZ16" s="15">
        <v>1494854.3315262606</v>
      </c>
      <c r="BA16" s="7">
        <v>360310.58876199595</v>
      </c>
      <c r="BB16" s="7">
        <v>1336194.4889129647</v>
      </c>
      <c r="BC16" s="7">
        <v>193.06891883440935</v>
      </c>
      <c r="BD16" s="8">
        <v>3191552.478120056</v>
      </c>
    </row>
    <row r="17" spans="1:56" x14ac:dyDescent="0.25">
      <c r="A17" s="12" t="s">
        <v>10</v>
      </c>
      <c r="B17" s="7">
        <v>100645.95768861678</v>
      </c>
      <c r="C17" s="7">
        <v>175558.68662895</v>
      </c>
      <c r="D17" s="7">
        <v>130941.41064201409</v>
      </c>
      <c r="E17" s="7">
        <v>201.38911394415851</v>
      </c>
      <c r="F17" s="8">
        <v>407347.44407352502</v>
      </c>
      <c r="G17" s="7">
        <v>128304.55755353738</v>
      </c>
      <c r="H17" s="7">
        <v>230469.48471780767</v>
      </c>
      <c r="I17" s="7">
        <v>142448.23256875962</v>
      </c>
      <c r="J17" s="7">
        <v>414.14790043611191</v>
      </c>
      <c r="K17" s="7">
        <v>501636.42274054076</v>
      </c>
      <c r="L17" s="15">
        <v>161288.37840648406</v>
      </c>
      <c r="M17" s="7">
        <v>272541.95417611027</v>
      </c>
      <c r="N17" s="7">
        <v>176424.32782125071</v>
      </c>
      <c r="O17" s="7">
        <v>537.65852311738399</v>
      </c>
      <c r="P17" s="8">
        <v>610792.31892696256</v>
      </c>
      <c r="Q17" s="7">
        <v>182407.40112490757</v>
      </c>
      <c r="R17" s="7">
        <v>322471.54378809105</v>
      </c>
      <c r="S17" s="7">
        <v>208323.51560898</v>
      </c>
      <c r="T17" s="7">
        <v>727.84640101681748</v>
      </c>
      <c r="U17" s="7">
        <v>713930.30692299537</v>
      </c>
      <c r="V17" s="15">
        <v>204567.06522224282</v>
      </c>
      <c r="W17" s="7">
        <v>516016.12386729679</v>
      </c>
      <c r="X17" s="7">
        <v>251598.60926495795</v>
      </c>
      <c r="Y17" s="7">
        <v>635.47769570541641</v>
      </c>
      <c r="Z17" s="8">
        <v>972817.2760502029</v>
      </c>
      <c r="AA17" s="7">
        <v>274944.58737919992</v>
      </c>
      <c r="AB17" s="7">
        <v>698796.73049193597</v>
      </c>
      <c r="AC17" s="7">
        <v>341915.17386928597</v>
      </c>
      <c r="AD17" s="7">
        <v>737.33929244157446</v>
      </c>
      <c r="AE17" s="7">
        <v>1316393.8310328634</v>
      </c>
      <c r="AF17" s="15">
        <v>423180.12724421424</v>
      </c>
      <c r="AG17" s="7">
        <v>739371.0144234295</v>
      </c>
      <c r="AH17" s="7">
        <v>419402.14893680072</v>
      </c>
      <c r="AI17" s="7">
        <v>429.47415834464579</v>
      </c>
      <c r="AJ17" s="8">
        <v>1582382.764762789</v>
      </c>
      <c r="AK17" s="7">
        <v>583906.86906830838</v>
      </c>
      <c r="AL17" s="7">
        <v>687158.43916091032</v>
      </c>
      <c r="AM17" s="7">
        <v>479127.95425473014</v>
      </c>
      <c r="AN17" s="7">
        <v>83.656711227066523</v>
      </c>
      <c r="AO17" s="7">
        <v>1750276.9191951759</v>
      </c>
      <c r="AP17" s="15">
        <v>722441.37568700605</v>
      </c>
      <c r="AQ17" s="7">
        <v>1057554.0762072001</v>
      </c>
      <c r="AR17" s="7">
        <v>583222.62823533756</v>
      </c>
      <c r="AS17" s="7">
        <v>-89.498971716645414</v>
      </c>
      <c r="AT17" s="8">
        <v>2363128.5811578268</v>
      </c>
      <c r="AU17" s="7">
        <v>1055511.3150471458</v>
      </c>
      <c r="AV17" s="7">
        <v>1303940.2645270303</v>
      </c>
      <c r="AW17" s="7">
        <v>729618.03302458813</v>
      </c>
      <c r="AX17" s="7">
        <v>-41.42009220724637</v>
      </c>
      <c r="AY17" s="7">
        <v>3089028.1925065569</v>
      </c>
      <c r="AZ17" s="15">
        <v>1444582.9939042791</v>
      </c>
      <c r="BA17" s="7">
        <v>1171726.6322537181</v>
      </c>
      <c r="BB17" s="7">
        <v>1103095.9089924041</v>
      </c>
      <c r="BC17" s="7">
        <v>706.59217876867547</v>
      </c>
      <c r="BD17" s="8">
        <v>3720112.1273291698</v>
      </c>
    </row>
    <row r="18" spans="1:56" x14ac:dyDescent="0.25">
      <c r="A18" s="12" t="s">
        <v>22</v>
      </c>
      <c r="B18" s="7">
        <v>230865.20946499909</v>
      </c>
      <c r="C18" s="7">
        <v>101377.40843194352</v>
      </c>
      <c r="D18" s="7">
        <v>223163.51155461432</v>
      </c>
      <c r="E18" s="7">
        <v>90.432839126314079</v>
      </c>
      <c r="F18" s="8">
        <v>555496.56229068327</v>
      </c>
      <c r="G18" s="7">
        <v>293662.1629390234</v>
      </c>
      <c r="H18" s="7">
        <v>130961.19353607357</v>
      </c>
      <c r="I18" s="7">
        <v>256498.31408528698</v>
      </c>
      <c r="J18" s="7">
        <v>185.97117650075447</v>
      </c>
      <c r="K18" s="7">
        <v>681307.64173688472</v>
      </c>
      <c r="L18" s="15">
        <v>371727.52147531579</v>
      </c>
      <c r="M18" s="7">
        <v>153442.83478472274</v>
      </c>
      <c r="N18" s="7">
        <v>326803.22129667748</v>
      </c>
      <c r="O18" s="7">
        <v>241.43304359265412</v>
      </c>
      <c r="P18" s="8">
        <v>852215.01060030865</v>
      </c>
      <c r="Q18" s="7">
        <v>417283.29763112089</v>
      </c>
      <c r="R18" s="7">
        <v>160363.19378508045</v>
      </c>
      <c r="S18" s="7">
        <v>392723.35207861417</v>
      </c>
      <c r="T18" s="7">
        <v>326.83602009427159</v>
      </c>
      <c r="U18" s="7">
        <v>970696.67951490975</v>
      </c>
      <c r="V18" s="15">
        <v>464955.54691737168</v>
      </c>
      <c r="W18" s="7">
        <v>189269.91571983453</v>
      </c>
      <c r="X18" s="7">
        <v>463895.28771168215</v>
      </c>
      <c r="Y18" s="7">
        <v>285.35828525480048</v>
      </c>
      <c r="Z18" s="8">
        <v>1118406.1086341431</v>
      </c>
      <c r="AA18" s="7">
        <v>646947.58382458054</v>
      </c>
      <c r="AB18" s="7">
        <v>147973.6020303503</v>
      </c>
      <c r="AC18" s="7">
        <v>596767.13764423446</v>
      </c>
      <c r="AD18" s="7">
        <v>331.09875856233327</v>
      </c>
      <c r="AE18" s="7">
        <v>1392019.4222577277</v>
      </c>
      <c r="AF18" s="15">
        <v>947362.10347345949</v>
      </c>
      <c r="AG18" s="7">
        <v>215487.64746567822</v>
      </c>
      <c r="AH18" s="7">
        <v>871289.08047403232</v>
      </c>
      <c r="AI18" s="7">
        <v>226.56911912117511</v>
      </c>
      <c r="AJ18" s="8">
        <v>2034365.4005322913</v>
      </c>
      <c r="AK18" s="7">
        <v>1301720.721506644</v>
      </c>
      <c r="AL18" s="7">
        <v>81647.308467053837</v>
      </c>
      <c r="AM18" s="7">
        <v>968908.04387271625</v>
      </c>
      <c r="AN18" s="7">
        <v>41.744142533039614</v>
      </c>
      <c r="AO18" s="7">
        <v>2352317.817988947</v>
      </c>
      <c r="AP18" s="15">
        <v>1886260.7413129539</v>
      </c>
      <c r="AQ18" s="7">
        <v>149711.63574500597</v>
      </c>
      <c r="AR18" s="7">
        <v>1235615.1766042553</v>
      </c>
      <c r="AS18" s="7">
        <v>-42.34046309733305</v>
      </c>
      <c r="AT18" s="8">
        <v>3271545.2131991182</v>
      </c>
      <c r="AU18" s="7">
        <v>2488529.11581012</v>
      </c>
      <c r="AV18" s="7">
        <v>322654.37602480047</v>
      </c>
      <c r="AW18" s="7">
        <v>1546813.844887122</v>
      </c>
      <c r="AX18" s="7">
        <v>-12.978002745151571</v>
      </c>
      <c r="AY18" s="7">
        <v>4357984.3587192977</v>
      </c>
      <c r="AZ18" s="15">
        <v>3701888.1989979991</v>
      </c>
      <c r="BA18" s="7">
        <v>346957.74139169231</v>
      </c>
      <c r="BB18" s="7">
        <v>2053680.9313668082</v>
      </c>
      <c r="BC18" s="7">
        <v>292.82810419726775</v>
      </c>
      <c r="BD18" s="8">
        <v>6102819.6998606967</v>
      </c>
    </row>
    <row r="19" spans="1:56" x14ac:dyDescent="0.25">
      <c r="A19" s="12" t="s">
        <v>12</v>
      </c>
      <c r="B19" s="7">
        <v>137906.67496738036</v>
      </c>
      <c r="C19" s="7">
        <v>97771.721308468826</v>
      </c>
      <c r="D19" s="7">
        <v>156827.36787144194</v>
      </c>
      <c r="E19" s="7">
        <v>99.085127509650405</v>
      </c>
      <c r="F19" s="8">
        <v>392604.8492748008</v>
      </c>
      <c r="G19" s="7">
        <v>175763.23270968869</v>
      </c>
      <c r="H19" s="7">
        <v>119203.38103292885</v>
      </c>
      <c r="I19" s="7">
        <v>185946.27495296166</v>
      </c>
      <c r="J19" s="7">
        <v>203.76422895402706</v>
      </c>
      <c r="K19" s="7">
        <v>481116.65292453323</v>
      </c>
      <c r="L19" s="15">
        <v>220763.69554315199</v>
      </c>
      <c r="M19" s="7">
        <v>141911.42679723504</v>
      </c>
      <c r="N19" s="7">
        <v>231825.62886106435</v>
      </c>
      <c r="O19" s="7">
        <v>264.53248776151923</v>
      </c>
      <c r="P19" s="8">
        <v>594765.28368921287</v>
      </c>
      <c r="Q19" s="7">
        <v>250230.40061379792</v>
      </c>
      <c r="R19" s="7">
        <v>165347.52644970099</v>
      </c>
      <c r="S19" s="7">
        <v>280767.58594440826</v>
      </c>
      <c r="T19" s="7">
        <v>358.10651350394596</v>
      </c>
      <c r="U19" s="7">
        <v>696703.61952141114</v>
      </c>
      <c r="V19" s="15">
        <v>279985.71260362456</v>
      </c>
      <c r="W19" s="7">
        <v>148271.55497727011</v>
      </c>
      <c r="X19" s="7">
        <v>366055.84358909877</v>
      </c>
      <c r="Y19" s="7">
        <v>312.66033836351966</v>
      </c>
      <c r="Z19" s="8">
        <v>794625.77150835691</v>
      </c>
      <c r="AA19" s="7">
        <v>375192.89439659496</v>
      </c>
      <c r="AB19" s="7">
        <v>136394.52160981306</v>
      </c>
      <c r="AC19" s="7">
        <v>388614.58454440796</v>
      </c>
      <c r="AD19" s="7">
        <v>362.77709543777445</v>
      </c>
      <c r="AE19" s="7">
        <v>900564.77764625382</v>
      </c>
      <c r="AF19" s="15">
        <v>584485.72027475096</v>
      </c>
      <c r="AG19" s="7">
        <v>235078.39194000489</v>
      </c>
      <c r="AH19" s="7">
        <v>551734.24681694526</v>
      </c>
      <c r="AI19" s="7">
        <v>104.18261070628469</v>
      </c>
      <c r="AJ19" s="8">
        <v>1371402.5416424072</v>
      </c>
      <c r="AK19" s="7">
        <v>793853.18689263659</v>
      </c>
      <c r="AL19" s="7">
        <v>284744.86351379356</v>
      </c>
      <c r="AM19" s="7">
        <v>717714.10754689411</v>
      </c>
      <c r="AN19" s="7">
        <v>51.113922149099842</v>
      </c>
      <c r="AO19" s="7">
        <v>1796363.2718754734</v>
      </c>
      <c r="AP19" s="15">
        <v>977011.82880785281</v>
      </c>
      <c r="AQ19" s="7">
        <v>266743.26274802454</v>
      </c>
      <c r="AR19" s="7">
        <v>807180.09441693826</v>
      </c>
      <c r="AS19" s="7">
        <v>-58.485684241324421</v>
      </c>
      <c r="AT19" s="8">
        <v>2050876.7002885742</v>
      </c>
      <c r="AU19" s="7">
        <v>1443069.2900786316</v>
      </c>
      <c r="AV19" s="7">
        <v>291552.16250485025</v>
      </c>
      <c r="AW19" s="7">
        <v>997515.60227424488</v>
      </c>
      <c r="AX19" s="7">
        <v>-18.685286207520658</v>
      </c>
      <c r="AY19" s="7">
        <v>2732118.3695715191</v>
      </c>
      <c r="AZ19" s="15">
        <v>2034243.9006306631</v>
      </c>
      <c r="BA19" s="7">
        <v>327615.06987951387</v>
      </c>
      <c r="BB19" s="7">
        <v>1367736.4865454407</v>
      </c>
      <c r="BC19" s="7">
        <v>392.47586090734205</v>
      </c>
      <c r="BD19" s="8">
        <v>3729987.9329165248</v>
      </c>
    </row>
    <row r="20" spans="1:56" x14ac:dyDescent="0.25">
      <c r="A20" s="12" t="s">
        <v>16</v>
      </c>
      <c r="B20" s="7">
        <v>29288.891274709866</v>
      </c>
      <c r="C20" s="7">
        <v>115336.94358892407</v>
      </c>
      <c r="D20" s="7">
        <v>86929.061744034945</v>
      </c>
      <c r="E20" s="7">
        <v>1492.9189920792514</v>
      </c>
      <c r="F20" s="8">
        <v>233047.81559974814</v>
      </c>
      <c r="G20" s="7">
        <v>37593.804937288522</v>
      </c>
      <c r="H20" s="7">
        <v>147158.39786830818</v>
      </c>
      <c r="I20" s="7">
        <v>100470.79769760283</v>
      </c>
      <c r="J20" s="7">
        <v>3070.1225800231618</v>
      </c>
      <c r="K20" s="7">
        <v>288293.12308322266</v>
      </c>
      <c r="L20" s="15">
        <v>47167.920517826933</v>
      </c>
      <c r="M20" s="7">
        <v>178301.36142416019</v>
      </c>
      <c r="N20" s="7">
        <v>126961.77726169782</v>
      </c>
      <c r="O20" s="7">
        <v>3985.7200058876683</v>
      </c>
      <c r="P20" s="8">
        <v>356416.77920957259</v>
      </c>
      <c r="Q20" s="7">
        <v>48405.744770230682</v>
      </c>
      <c r="R20" s="7">
        <v>177182.64447837637</v>
      </c>
      <c r="S20" s="7">
        <v>143901.09845829662</v>
      </c>
      <c r="T20" s="7">
        <v>5395.6030398735275</v>
      </c>
      <c r="U20" s="7">
        <v>374885.09074677719</v>
      </c>
      <c r="V20" s="15">
        <v>52289.75998942829</v>
      </c>
      <c r="W20" s="7">
        <v>255653.276671578</v>
      </c>
      <c r="X20" s="7">
        <v>178273.08293262104</v>
      </c>
      <c r="Y20" s="7">
        <v>4710.8639706535341</v>
      </c>
      <c r="Z20" s="8">
        <v>490926.98356428085</v>
      </c>
      <c r="AA20" s="7">
        <v>70452.778387253231</v>
      </c>
      <c r="AB20" s="7">
        <v>197647.27068259614</v>
      </c>
      <c r="AC20" s="7">
        <v>210480.51872178382</v>
      </c>
      <c r="AD20" s="7">
        <v>5465.9748570001257</v>
      </c>
      <c r="AE20" s="7">
        <v>484046.5426486333</v>
      </c>
      <c r="AF20" s="15">
        <v>101675.90757103756</v>
      </c>
      <c r="AG20" s="7">
        <v>181814.25984463529</v>
      </c>
      <c r="AH20" s="7">
        <v>322905.65076580003</v>
      </c>
      <c r="AI20" s="7">
        <v>4429.5451237968564</v>
      </c>
      <c r="AJ20" s="8">
        <v>610825.36330526974</v>
      </c>
      <c r="AK20" s="7">
        <v>173930.9501849908</v>
      </c>
      <c r="AL20" s="7">
        <v>152340.53286190011</v>
      </c>
      <c r="AM20" s="7">
        <v>283224.54354305915</v>
      </c>
      <c r="AN20" s="7">
        <v>601.6895150078027</v>
      </c>
      <c r="AO20" s="7">
        <v>610097.71610495786</v>
      </c>
      <c r="AP20" s="15">
        <v>244471.0016730724</v>
      </c>
      <c r="AQ20" s="7">
        <v>253200.99575677255</v>
      </c>
      <c r="AR20" s="7">
        <v>350973.54328124027</v>
      </c>
      <c r="AS20" s="7">
        <v>-743.3801721332776</v>
      </c>
      <c r="AT20" s="8">
        <v>847902.16053895187</v>
      </c>
      <c r="AU20" s="7">
        <v>319230.39393059246</v>
      </c>
      <c r="AV20" s="7">
        <v>388782.44088081672</v>
      </c>
      <c r="AW20" s="7">
        <v>555552.62691874383</v>
      </c>
      <c r="AX20" s="7">
        <v>-187.41590873186041</v>
      </c>
      <c r="AY20" s="7">
        <v>1263378.0458214213</v>
      </c>
      <c r="AZ20" s="15">
        <v>430574.80647072371</v>
      </c>
      <c r="BA20" s="7">
        <v>385210.10969987954</v>
      </c>
      <c r="BB20" s="7">
        <v>757016.94911283557</v>
      </c>
      <c r="BC20" s="7">
        <v>4503.4649800342577</v>
      </c>
      <c r="BD20" s="8">
        <v>1577305.3302634731</v>
      </c>
    </row>
    <row r="21" spans="1:56" x14ac:dyDescent="0.25">
      <c r="A21" s="12" t="s">
        <v>4</v>
      </c>
      <c r="B21" s="7">
        <v>338904.69822883821</v>
      </c>
      <c r="C21" s="7">
        <v>125338.40569537082</v>
      </c>
      <c r="D21" s="7">
        <v>323472.37244502472</v>
      </c>
      <c r="E21" s="7">
        <v>50.490089265014049</v>
      </c>
      <c r="F21" s="8">
        <v>787765.96645849885</v>
      </c>
      <c r="G21" s="7">
        <v>432376.82681942399</v>
      </c>
      <c r="H21" s="7">
        <v>150355.30726501829</v>
      </c>
      <c r="I21" s="7">
        <v>383439.20015482925</v>
      </c>
      <c r="J21" s="7">
        <v>103.83065922687113</v>
      </c>
      <c r="K21" s="7">
        <v>966275.16489849833</v>
      </c>
      <c r="L21" s="15">
        <v>544197.07722586999</v>
      </c>
      <c r="M21" s="7">
        <v>198063.27233929967</v>
      </c>
      <c r="N21" s="7">
        <v>487178.74232578831</v>
      </c>
      <c r="O21" s="7">
        <v>134.7958998112457</v>
      </c>
      <c r="P21" s="8">
        <v>1229573.8877907691</v>
      </c>
      <c r="Q21" s="7">
        <v>612183.48821873567</v>
      </c>
      <c r="R21" s="7">
        <v>199121.25940333219</v>
      </c>
      <c r="S21" s="7">
        <v>580285.15324973431</v>
      </c>
      <c r="T21" s="7">
        <v>182.4777369483246</v>
      </c>
      <c r="U21" s="7">
        <v>1391772.3786087504</v>
      </c>
      <c r="V21" s="15">
        <v>690065.47564624134</v>
      </c>
      <c r="W21" s="7">
        <v>175459.28900999922</v>
      </c>
      <c r="X21" s="7">
        <v>772858.16448421392</v>
      </c>
      <c r="Y21" s="7">
        <v>159.32005933045906</v>
      </c>
      <c r="Z21" s="8">
        <v>1638542.2491997851</v>
      </c>
      <c r="AA21" s="7">
        <v>930449.98296959489</v>
      </c>
      <c r="AB21" s="7">
        <v>254879.62098382507</v>
      </c>
      <c r="AC21" s="7">
        <v>838211.40412112814</v>
      </c>
      <c r="AD21" s="7">
        <v>184.85769148525142</v>
      </c>
      <c r="AE21" s="7">
        <v>2023725.8657660333</v>
      </c>
      <c r="AF21" s="15">
        <v>1399867.0029194169</v>
      </c>
      <c r="AG21" s="7">
        <v>212896.64387886587</v>
      </c>
      <c r="AH21" s="7">
        <v>1205967.3812331215</v>
      </c>
      <c r="AI21" s="7">
        <v>76.107692209891482</v>
      </c>
      <c r="AJ21" s="8">
        <v>2818807.1357236141</v>
      </c>
      <c r="AK21" s="7">
        <v>2004611.1534704766</v>
      </c>
      <c r="AL21" s="7">
        <v>248903.07979435279</v>
      </c>
      <c r="AM21" s="7">
        <v>1462078.149589526</v>
      </c>
      <c r="AN21" s="7">
        <v>23.387136052892089</v>
      </c>
      <c r="AO21" s="7">
        <v>3715615.7699904083</v>
      </c>
      <c r="AP21" s="15">
        <v>2479058.4927634271</v>
      </c>
      <c r="AQ21" s="7">
        <v>296269.51841465826</v>
      </c>
      <c r="AR21" s="7">
        <v>1654925.5501332108</v>
      </c>
      <c r="AS21" s="7">
        <v>-32.631291573263397</v>
      </c>
      <c r="AT21" s="8">
        <v>4430220.9300197233</v>
      </c>
      <c r="AU21" s="7">
        <v>3578790.3949997434</v>
      </c>
      <c r="AV21" s="7">
        <v>325131.65068122762</v>
      </c>
      <c r="AW21" s="7">
        <v>2142725.9914825079</v>
      </c>
      <c r="AX21" s="7">
        <v>-8.0044608055712416</v>
      </c>
      <c r="AY21" s="7">
        <v>6046640.0327026732</v>
      </c>
      <c r="AZ21" s="15">
        <v>5259165.2921337169</v>
      </c>
      <c r="BA21" s="7">
        <v>348409.38110392739</v>
      </c>
      <c r="BB21" s="7">
        <v>2933980.3807912748</v>
      </c>
      <c r="BC21" s="7">
        <v>188.04813243764801</v>
      </c>
      <c r="BD21" s="8">
        <v>8541743.1021613572</v>
      </c>
    </row>
    <row r="22" spans="1:56" x14ac:dyDescent="0.25">
      <c r="A22" s="12" t="s">
        <v>2</v>
      </c>
      <c r="B22" s="7">
        <v>43100.289567793021</v>
      </c>
      <c r="C22" s="7">
        <v>2104734.9614608954</v>
      </c>
      <c r="D22" s="7">
        <v>66847.757869620706</v>
      </c>
      <c r="E22" s="7">
        <v>428.89703598790493</v>
      </c>
      <c r="F22" s="8">
        <v>2215111.9059342975</v>
      </c>
      <c r="G22" s="7">
        <v>54968.083131283587</v>
      </c>
      <c r="H22" s="7">
        <v>2392256.2727570208</v>
      </c>
      <c r="I22" s="7">
        <v>79750.870257060742</v>
      </c>
      <c r="J22" s="7">
        <v>882.00798682154698</v>
      </c>
      <c r="K22" s="7">
        <v>2527857.234132187</v>
      </c>
      <c r="L22" s="15">
        <v>67495.132726334748</v>
      </c>
      <c r="M22" s="7">
        <v>3039968.6686572544</v>
      </c>
      <c r="N22" s="7">
        <v>91839.548108948569</v>
      </c>
      <c r="O22" s="7">
        <v>1145.04772587967</v>
      </c>
      <c r="P22" s="8">
        <v>3200448.3972184174</v>
      </c>
      <c r="Q22" s="7">
        <v>72814.539031610126</v>
      </c>
      <c r="R22" s="7">
        <v>5343479.9705132414</v>
      </c>
      <c r="S22" s="7">
        <v>105289.25518616845</v>
      </c>
      <c r="T22" s="7">
        <v>1550.0895651049757</v>
      </c>
      <c r="U22" s="7">
        <v>5523133.8542961245</v>
      </c>
      <c r="V22" s="15">
        <v>73299.338746699097</v>
      </c>
      <c r="W22" s="7">
        <v>6824246.8744147997</v>
      </c>
      <c r="X22" s="7">
        <v>112710.94812958746</v>
      </c>
      <c r="Y22" s="7">
        <v>1353.3725571683642</v>
      </c>
      <c r="Z22" s="8">
        <v>7011610.5338482559</v>
      </c>
      <c r="AA22" s="7">
        <v>93426.049987028833</v>
      </c>
      <c r="AB22" s="7">
        <v>6340740.1482054843</v>
      </c>
      <c r="AC22" s="7">
        <v>148905.68416089518</v>
      </c>
      <c r="AD22" s="7">
        <v>1570.306511866866</v>
      </c>
      <c r="AE22" s="7">
        <v>6584642.1888652751</v>
      </c>
      <c r="AF22" s="15">
        <v>187257.37771890976</v>
      </c>
      <c r="AG22" s="7">
        <v>10374059.043492349</v>
      </c>
      <c r="AH22" s="7">
        <v>245203.79360836418</v>
      </c>
      <c r="AI22" s="7">
        <v>961.31121302499344</v>
      </c>
      <c r="AJ22" s="8">
        <v>10807481.526032649</v>
      </c>
      <c r="AK22" s="7">
        <v>204650.16785797977</v>
      </c>
      <c r="AL22" s="7">
        <v>11486234.434772067</v>
      </c>
      <c r="AM22" s="7">
        <v>223870.03488898568</v>
      </c>
      <c r="AN22" s="7">
        <v>160.18603969725064</v>
      </c>
      <c r="AO22" s="7">
        <v>11914914.823558731</v>
      </c>
      <c r="AP22" s="15">
        <v>295192.10424497584</v>
      </c>
      <c r="AQ22" s="7">
        <v>13449427.257335955</v>
      </c>
      <c r="AR22" s="7">
        <v>301160.12929591851</v>
      </c>
      <c r="AS22" s="7">
        <v>-264.62682063806704</v>
      </c>
      <c r="AT22" s="8">
        <v>14045514.864056211</v>
      </c>
      <c r="AU22" s="7">
        <v>400076.12838190346</v>
      </c>
      <c r="AV22" s="7">
        <v>17590074.186473727</v>
      </c>
      <c r="AW22" s="7">
        <v>427681.13833146414</v>
      </c>
      <c r="AX22" s="7">
        <v>-66.869783622831648</v>
      </c>
      <c r="AY22" s="7">
        <v>18417764.583403476</v>
      </c>
      <c r="AZ22" s="15">
        <v>1227845.8664512034</v>
      </c>
      <c r="BA22" s="7">
        <v>15974625.313788459</v>
      </c>
      <c r="BB22" s="7">
        <v>866968.47991531063</v>
      </c>
      <c r="BC22" s="7">
        <v>1460.5214334119639</v>
      </c>
      <c r="BD22" s="8">
        <v>18070900.181588385</v>
      </c>
    </row>
    <row r="23" spans="1:56" ht="15.75" thickBot="1" x14ac:dyDescent="0.3">
      <c r="A23" s="13" t="s">
        <v>19</v>
      </c>
      <c r="B23" s="16">
        <v>2159875.8514858922</v>
      </c>
      <c r="C23" s="16">
        <v>5832104.4006484691</v>
      </c>
      <c r="D23" s="16">
        <v>7568677.6634095963</v>
      </c>
      <c r="E23" s="16">
        <v>246659.41568827289</v>
      </c>
      <c r="F23" s="17">
        <v>15807317.331232231</v>
      </c>
      <c r="G23" s="16">
        <v>2755506.7669501994</v>
      </c>
      <c r="H23" s="16">
        <v>7056538.5581172267</v>
      </c>
      <c r="I23" s="16">
        <v>8742254.3802382555</v>
      </c>
      <c r="J23" s="16">
        <v>507244.29503385001</v>
      </c>
      <c r="K23" s="16">
        <v>19061544.00033953</v>
      </c>
      <c r="L23" s="18">
        <v>3463490.8536356264</v>
      </c>
      <c r="M23" s="16">
        <v>8640379.670289252</v>
      </c>
      <c r="N23" s="16">
        <v>10782849.076678468</v>
      </c>
      <c r="O23" s="16">
        <v>658518.8968492425</v>
      </c>
      <c r="P23" s="17">
        <v>23545238.497452591</v>
      </c>
      <c r="Q23" s="16">
        <v>3851649.904073704</v>
      </c>
      <c r="R23" s="16">
        <v>11940943.442716137</v>
      </c>
      <c r="S23" s="16">
        <v>12509728.62740412</v>
      </c>
      <c r="T23" s="16">
        <v>891459.14826061996</v>
      </c>
      <c r="U23" s="16">
        <v>29193781.122454591</v>
      </c>
      <c r="V23" s="18">
        <v>4279721.2952980213</v>
      </c>
      <c r="W23" s="16">
        <v>14647845.426577691</v>
      </c>
      <c r="X23" s="16">
        <v>15029141.244735556</v>
      </c>
      <c r="Y23" s="16">
        <v>778326.86204226001</v>
      </c>
      <c r="Z23" s="17">
        <v>34735034.828653529</v>
      </c>
      <c r="AA23" s="16">
        <v>5778526.1288539115</v>
      </c>
      <c r="AB23" s="16">
        <v>14202949.876480516</v>
      </c>
      <c r="AC23" s="16">
        <v>17359085.018343236</v>
      </c>
      <c r="AD23" s="16">
        <v>903085.94876718591</v>
      </c>
      <c r="AE23" s="16">
        <v>38243646.972444847</v>
      </c>
      <c r="AF23" s="18">
        <v>8823858.8014526814</v>
      </c>
      <c r="AG23" s="16">
        <v>20442414.610767428</v>
      </c>
      <c r="AH23" s="16">
        <v>22582357.72012997</v>
      </c>
      <c r="AI23" s="16">
        <v>575117.23954599001</v>
      </c>
      <c r="AJ23" s="17">
        <v>52423748.371896066</v>
      </c>
      <c r="AK23" s="16">
        <v>12454214.876257153</v>
      </c>
      <c r="AL23" s="16">
        <v>23041326.088736612</v>
      </c>
      <c r="AM23" s="16">
        <v>28511344.457773432</v>
      </c>
      <c r="AN23" s="16">
        <v>90592.038669050205</v>
      </c>
      <c r="AO23" s="16">
        <v>64097477.461436234</v>
      </c>
      <c r="AP23" s="18">
        <v>16204708.455581142</v>
      </c>
      <c r="AQ23" s="16">
        <v>27668419.175280407</v>
      </c>
      <c r="AR23" s="16">
        <v>33754614.618540742</v>
      </c>
      <c r="AS23" s="16">
        <v>-127874.60675763946</v>
      </c>
      <c r="AT23" s="17">
        <v>77499867.642644644</v>
      </c>
      <c r="AU23" s="16">
        <v>22417167.546721894</v>
      </c>
      <c r="AV23" s="16">
        <v>35243354.58427462</v>
      </c>
      <c r="AW23" s="16">
        <v>46396805.569438048</v>
      </c>
      <c r="AX23" s="16">
        <v>-46239.891853439156</v>
      </c>
      <c r="AY23" s="16">
        <v>104011087.80858111</v>
      </c>
      <c r="AZ23" s="18">
        <v>32625275.04826577</v>
      </c>
      <c r="BA23" s="16">
        <v>35181730.845284611</v>
      </c>
      <c r="BB23" s="16">
        <v>59654788.742200255</v>
      </c>
      <c r="BC23" s="16">
        <v>840227.20743083034</v>
      </c>
      <c r="BD23" s="17">
        <v>128302021.84318145</v>
      </c>
    </row>
  </sheetData>
  <mergeCells count="12">
    <mergeCell ref="AP3:AT3"/>
    <mergeCell ref="AU3:AY3"/>
    <mergeCell ref="AZ3:BD3"/>
    <mergeCell ref="B3:F3"/>
    <mergeCell ref="A3:A4"/>
    <mergeCell ref="Q3:U3"/>
    <mergeCell ref="V3:Z3"/>
    <mergeCell ref="AA3:AE3"/>
    <mergeCell ref="AF3:AJ3"/>
    <mergeCell ref="AK3:AO3"/>
    <mergeCell ref="G3:K3"/>
    <mergeCell ref="L3:P3"/>
  </mergeCells>
  <pageMargins left="0.7" right="0.7" top="0.75" bottom="0.75" header="0.3" footer="0.3"/>
  <pageSetup paperSize="9" scale="6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65689-B1B1-4776-94F5-084922EBDC8D}">
  <sheetPr>
    <tabColor theme="8" tint="0.39997558519241921"/>
  </sheetPr>
  <dimension ref="A2:BD24"/>
  <sheetViews>
    <sheetView showGridLines="0" zoomScale="130" zoomScaleNormal="130" zoomScaleSheetLayoutView="85" workbookViewId="0">
      <pane xSplit="1" ySplit="5" topLeftCell="AI6" activePane="bottomRight" state="frozen"/>
      <selection pane="topRight" activeCell="B1" sqref="B1"/>
      <selection pane="bottomLeft" activeCell="A6" sqref="A6"/>
      <selection pane="bottomRight" activeCell="A2" sqref="A2"/>
    </sheetView>
  </sheetViews>
  <sheetFormatPr defaultRowHeight="15" x14ac:dyDescent="0.25"/>
  <cols>
    <col min="1" max="1" width="88.140625" bestFit="1" customWidth="1"/>
    <col min="2" max="55" width="13.5703125" customWidth="1"/>
  </cols>
  <sheetData>
    <row r="2" spans="1:56" x14ac:dyDescent="0.25">
      <c r="A2" s="1" t="s">
        <v>30</v>
      </c>
    </row>
    <row r="3" spans="1:56" ht="15.75" thickBot="1" x14ac:dyDescent="0.3"/>
    <row r="4" spans="1:56" x14ac:dyDescent="0.25">
      <c r="A4" s="150" t="s">
        <v>0</v>
      </c>
      <c r="B4" s="148">
        <v>2015</v>
      </c>
      <c r="C4" s="148"/>
      <c r="D4" s="148"/>
      <c r="E4" s="148"/>
      <c r="F4" s="149"/>
      <c r="G4" s="147">
        <v>2016</v>
      </c>
      <c r="H4" s="148"/>
      <c r="I4" s="148"/>
      <c r="J4" s="148"/>
      <c r="K4" s="149"/>
      <c r="L4" s="147">
        <v>2017</v>
      </c>
      <c r="M4" s="148"/>
      <c r="N4" s="148"/>
      <c r="O4" s="148"/>
      <c r="P4" s="149"/>
      <c r="Q4" s="147">
        <v>2018</v>
      </c>
      <c r="R4" s="148"/>
      <c r="S4" s="148"/>
      <c r="T4" s="148"/>
      <c r="U4" s="149"/>
      <c r="V4" s="147">
        <v>2019</v>
      </c>
      <c r="W4" s="148"/>
      <c r="X4" s="148"/>
      <c r="Y4" s="148"/>
      <c r="Z4" s="149"/>
      <c r="AA4" s="147">
        <v>2020</v>
      </c>
      <c r="AB4" s="148"/>
      <c r="AC4" s="148"/>
      <c r="AD4" s="148"/>
      <c r="AE4" s="149"/>
      <c r="AF4" s="147">
        <v>2021</v>
      </c>
      <c r="AG4" s="148"/>
      <c r="AH4" s="148"/>
      <c r="AI4" s="148"/>
      <c r="AJ4" s="149"/>
      <c r="AK4" s="147">
        <v>2022</v>
      </c>
      <c r="AL4" s="148"/>
      <c r="AM4" s="148"/>
      <c r="AN4" s="148"/>
      <c r="AO4" s="149"/>
      <c r="AP4" s="147">
        <v>2023</v>
      </c>
      <c r="AQ4" s="148"/>
      <c r="AR4" s="148"/>
      <c r="AS4" s="148"/>
      <c r="AT4" s="149"/>
      <c r="AU4" s="147">
        <v>2024</v>
      </c>
      <c r="AV4" s="148"/>
      <c r="AW4" s="148"/>
      <c r="AX4" s="148"/>
      <c r="AY4" s="149"/>
      <c r="AZ4" s="147">
        <v>2025</v>
      </c>
      <c r="BA4" s="148"/>
      <c r="BB4" s="148"/>
      <c r="BC4" s="148"/>
      <c r="BD4" s="149"/>
    </row>
    <row r="5" spans="1:56" ht="36.75" thickBot="1" x14ac:dyDescent="0.3">
      <c r="A5" s="151"/>
      <c r="B5" s="9" t="s">
        <v>23</v>
      </c>
      <c r="C5" s="9" t="s">
        <v>24</v>
      </c>
      <c r="D5" s="9" t="s">
        <v>25</v>
      </c>
      <c r="E5" s="10" t="s">
        <v>26</v>
      </c>
      <c r="F5" s="11" t="s">
        <v>27</v>
      </c>
      <c r="G5" s="14" t="s">
        <v>23</v>
      </c>
      <c r="H5" s="9" t="s">
        <v>24</v>
      </c>
      <c r="I5" s="9" t="s">
        <v>25</v>
      </c>
      <c r="J5" s="10" t="s">
        <v>26</v>
      </c>
      <c r="K5" s="11" t="s">
        <v>27</v>
      </c>
      <c r="L5" s="14" t="s">
        <v>23</v>
      </c>
      <c r="M5" s="9" t="s">
        <v>24</v>
      </c>
      <c r="N5" s="9" t="s">
        <v>25</v>
      </c>
      <c r="O5" s="10" t="s">
        <v>26</v>
      </c>
      <c r="P5" s="11" t="s">
        <v>27</v>
      </c>
      <c r="Q5" s="14" t="s">
        <v>23</v>
      </c>
      <c r="R5" s="9" t="s">
        <v>24</v>
      </c>
      <c r="S5" s="9" t="s">
        <v>25</v>
      </c>
      <c r="T5" s="10" t="s">
        <v>26</v>
      </c>
      <c r="U5" s="11" t="s">
        <v>27</v>
      </c>
      <c r="V5" s="14" t="s">
        <v>23</v>
      </c>
      <c r="W5" s="9" t="s">
        <v>24</v>
      </c>
      <c r="X5" s="9" t="s">
        <v>25</v>
      </c>
      <c r="Y5" s="10" t="s">
        <v>26</v>
      </c>
      <c r="Z5" s="11" t="s">
        <v>27</v>
      </c>
      <c r="AA5" s="14" t="s">
        <v>23</v>
      </c>
      <c r="AB5" s="9" t="s">
        <v>24</v>
      </c>
      <c r="AC5" s="9" t="s">
        <v>25</v>
      </c>
      <c r="AD5" s="10" t="s">
        <v>26</v>
      </c>
      <c r="AE5" s="11" t="s">
        <v>27</v>
      </c>
      <c r="AF5" s="14" t="s">
        <v>23</v>
      </c>
      <c r="AG5" s="9" t="s">
        <v>24</v>
      </c>
      <c r="AH5" s="9" t="s">
        <v>25</v>
      </c>
      <c r="AI5" s="10" t="s">
        <v>26</v>
      </c>
      <c r="AJ5" s="11" t="s">
        <v>27</v>
      </c>
      <c r="AK5" s="14" t="s">
        <v>23</v>
      </c>
      <c r="AL5" s="9" t="s">
        <v>24</v>
      </c>
      <c r="AM5" s="9" t="s">
        <v>25</v>
      </c>
      <c r="AN5" s="10" t="s">
        <v>26</v>
      </c>
      <c r="AO5" s="11" t="s">
        <v>27</v>
      </c>
      <c r="AP5" s="14" t="s">
        <v>23</v>
      </c>
      <c r="AQ5" s="9" t="s">
        <v>24</v>
      </c>
      <c r="AR5" s="9" t="s">
        <v>25</v>
      </c>
      <c r="AS5" s="10" t="s">
        <v>26</v>
      </c>
      <c r="AT5" s="11" t="s">
        <v>27</v>
      </c>
      <c r="AU5" s="14" t="s">
        <v>23</v>
      </c>
      <c r="AV5" s="9" t="s">
        <v>24</v>
      </c>
      <c r="AW5" s="9" t="s">
        <v>25</v>
      </c>
      <c r="AX5" s="10" t="s">
        <v>26</v>
      </c>
      <c r="AY5" s="11" t="s">
        <v>27</v>
      </c>
      <c r="AZ5" s="14" t="s">
        <v>23</v>
      </c>
      <c r="BA5" s="9" t="s">
        <v>24</v>
      </c>
      <c r="BB5" s="9" t="s">
        <v>25</v>
      </c>
      <c r="BC5" s="10" t="s">
        <v>26</v>
      </c>
      <c r="BD5" s="11" t="s">
        <v>27</v>
      </c>
    </row>
    <row r="6" spans="1:56" x14ac:dyDescent="0.25">
      <c r="A6" s="12" t="s">
        <v>15</v>
      </c>
      <c r="B6" s="7">
        <v>4.4847162048237559</v>
      </c>
      <c r="C6" s="7">
        <v>1.8977196084373327</v>
      </c>
      <c r="D6" s="7">
        <v>1.2596164595586006</v>
      </c>
      <c r="E6" s="7">
        <v>0.16884219071257819</v>
      </c>
      <c r="F6" s="8">
        <v>1.9186941056237545</v>
      </c>
      <c r="G6" s="15">
        <v>4.484930020451328</v>
      </c>
      <c r="H6" s="7">
        <v>1.8697322751211183</v>
      </c>
      <c r="I6" s="7">
        <v>1.2636073822650558</v>
      </c>
      <c r="J6" s="7">
        <v>0.16884219071257822</v>
      </c>
      <c r="K6" s="8">
        <v>1.9245300550288458</v>
      </c>
      <c r="L6" s="15">
        <v>4.4942531629764613</v>
      </c>
      <c r="M6" s="7">
        <v>2.0144029022242651</v>
      </c>
      <c r="N6" s="7">
        <v>1.3093306877882429</v>
      </c>
      <c r="O6" s="7">
        <v>0.16884219071257822</v>
      </c>
      <c r="P6" s="8">
        <v>2.0046733263798875</v>
      </c>
      <c r="Q6" s="15">
        <v>4.4471605267358472</v>
      </c>
      <c r="R6" s="7">
        <v>1.4489900467734089</v>
      </c>
      <c r="S6" s="7">
        <v>1.2988817356773499</v>
      </c>
      <c r="T6" s="7">
        <v>0.16884219071257825</v>
      </c>
      <c r="U6" s="8">
        <v>1.7411375165317051</v>
      </c>
      <c r="V6" s="15">
        <v>4.4303488622378877</v>
      </c>
      <c r="W6" s="7">
        <v>1.0877686903642729</v>
      </c>
      <c r="X6" s="7">
        <v>1.270885318023411</v>
      </c>
      <c r="Y6" s="7">
        <v>0.16884219071257828</v>
      </c>
      <c r="Z6" s="8">
        <v>1.5582496357800792</v>
      </c>
      <c r="AA6" s="15">
        <v>4.4782825558648964</v>
      </c>
      <c r="AB6" s="7">
        <v>1.628506973310857</v>
      </c>
      <c r="AC6" s="7">
        <v>1.375002912035149</v>
      </c>
      <c r="AD6" s="7">
        <v>0.16884219071257822</v>
      </c>
      <c r="AE6" s="8">
        <v>1.909565455145706</v>
      </c>
      <c r="AF6" s="15">
        <v>4.3738178006569797</v>
      </c>
      <c r="AG6" s="7">
        <v>0.98528895738990585</v>
      </c>
      <c r="AH6" s="7">
        <v>1.5800395038772113</v>
      </c>
      <c r="AI6" s="7">
        <v>0.26263465036552713</v>
      </c>
      <c r="AJ6" s="8">
        <v>1.8039095260301701</v>
      </c>
      <c r="AK6" s="15">
        <v>4.4726975219158822</v>
      </c>
      <c r="AL6" s="7">
        <v>0.89498260854270228</v>
      </c>
      <c r="AM6" s="7">
        <v>1.4934452855036544</v>
      </c>
      <c r="AN6" s="7">
        <v>0.14668137006607584</v>
      </c>
      <c r="AO6" s="8">
        <v>1.8552827346653704</v>
      </c>
      <c r="AP6" s="15">
        <v>4.7174749266528382</v>
      </c>
      <c r="AQ6" s="7">
        <v>1.2260684614109727</v>
      </c>
      <c r="AR6" s="7">
        <v>1.5281726327674079</v>
      </c>
      <c r="AS6" s="7">
        <v>0.20815868598436379</v>
      </c>
      <c r="AT6" s="8">
        <v>2.0893576591256582</v>
      </c>
      <c r="AU6" s="15">
        <v>4.5922671275617741</v>
      </c>
      <c r="AV6" s="7">
        <v>1.582451395135295</v>
      </c>
      <c r="AW6" s="7">
        <v>1.4274875671245308</v>
      </c>
      <c r="AX6" s="7">
        <v>5.7894056434346045E-2</v>
      </c>
      <c r="AY6" s="8">
        <v>2.1626992667621057</v>
      </c>
      <c r="AZ6" s="15">
        <v>4.3904481736675613</v>
      </c>
      <c r="BA6" s="7">
        <v>1.3044187244401515</v>
      </c>
      <c r="BB6" s="7">
        <v>1.7549564514505067</v>
      </c>
      <c r="BC6" s="7">
        <v>0.13151199940635905</v>
      </c>
      <c r="BD6" s="8">
        <v>2.290948652439575</v>
      </c>
    </row>
    <row r="7" spans="1:56" x14ac:dyDescent="0.25">
      <c r="A7" s="12" t="s">
        <v>3</v>
      </c>
      <c r="B7" s="7">
        <v>7.9546556802799682</v>
      </c>
      <c r="C7" s="7">
        <v>3.6624212514113728</v>
      </c>
      <c r="D7" s="7">
        <v>6.9588947483118755</v>
      </c>
      <c r="E7" s="7">
        <v>2.6441789302506153</v>
      </c>
      <c r="F7" s="8">
        <v>5.8113930881922045</v>
      </c>
      <c r="G7" s="15">
        <v>7.9848315354039094</v>
      </c>
      <c r="H7" s="7">
        <v>4.2370560801572132</v>
      </c>
      <c r="I7" s="7">
        <v>7.2527506970173423</v>
      </c>
      <c r="J7" s="7">
        <v>2.6441789302506158</v>
      </c>
      <c r="K7" s="8">
        <v>6.1195380162495603</v>
      </c>
      <c r="L7" s="15">
        <v>7.9476865081397774</v>
      </c>
      <c r="M7" s="7">
        <v>3.9341394175354552</v>
      </c>
      <c r="N7" s="7">
        <v>6.9017375414474484</v>
      </c>
      <c r="O7" s="7">
        <v>2.6441789302506158</v>
      </c>
      <c r="P7" s="8">
        <v>5.8475021968986507</v>
      </c>
      <c r="Q7" s="15">
        <v>7.7048216150210527</v>
      </c>
      <c r="R7" s="7">
        <v>2.3833385481716265</v>
      </c>
      <c r="S7" s="7">
        <v>6.8471747264199871</v>
      </c>
      <c r="T7" s="7">
        <v>2.6441789302506162</v>
      </c>
      <c r="U7" s="8">
        <v>5.0061710341280827</v>
      </c>
      <c r="V7" s="15">
        <v>7.624680828627457</v>
      </c>
      <c r="W7" s="7">
        <v>3.0936365296298263</v>
      </c>
      <c r="X7" s="7">
        <v>6.7610059929853445</v>
      </c>
      <c r="Y7" s="7">
        <v>2.6441789302506162</v>
      </c>
      <c r="Z7" s="8">
        <v>5.2286335400153723</v>
      </c>
      <c r="AA7" s="15">
        <v>7.4856695992532778</v>
      </c>
      <c r="AB7" s="7">
        <v>3.1075216103974621</v>
      </c>
      <c r="AC7" s="7">
        <v>6.8615323259075396</v>
      </c>
      <c r="AD7" s="7">
        <v>2.6441789302506158</v>
      </c>
      <c r="AE7" s="8">
        <v>5.4620825004945557</v>
      </c>
      <c r="AF7" s="15">
        <v>7.538797473031396</v>
      </c>
      <c r="AG7" s="7">
        <v>3.0589958344662307</v>
      </c>
      <c r="AH7" s="7">
        <v>6.3255025215561975</v>
      </c>
      <c r="AI7" s="7">
        <v>2.8255741220856043</v>
      </c>
      <c r="AJ7" s="8">
        <v>5.2175655339589051</v>
      </c>
      <c r="AK7" s="15">
        <v>8.1390184815533768</v>
      </c>
      <c r="AL7" s="7">
        <v>4.0553384701683468</v>
      </c>
      <c r="AM7" s="7">
        <v>7.0250427676574798</v>
      </c>
      <c r="AN7" s="7">
        <v>2.4208863741564794</v>
      </c>
      <c r="AO7" s="8">
        <v>6.1674531356023294</v>
      </c>
      <c r="AP7" s="15">
        <v>7.8739319509202872</v>
      </c>
      <c r="AQ7" s="7">
        <v>3.5041346617790499</v>
      </c>
      <c r="AR7" s="7">
        <v>7.0792297685374237</v>
      </c>
      <c r="AS7" s="7">
        <v>2.3192482304819286</v>
      </c>
      <c r="AT7" s="8">
        <v>5.9768971496311805</v>
      </c>
      <c r="AU7" s="15">
        <v>7.1301932261275178</v>
      </c>
      <c r="AV7" s="7">
        <v>3.6502842881184847</v>
      </c>
      <c r="AW7" s="7">
        <v>10.6670680057022</v>
      </c>
      <c r="AX7" s="7">
        <v>3.0110069942784499</v>
      </c>
      <c r="AY7" s="8">
        <v>7.530597629652906</v>
      </c>
      <c r="AZ7" s="15">
        <v>7.0781392172936721</v>
      </c>
      <c r="BA7" s="7">
        <v>4.2940978149087652</v>
      </c>
      <c r="BB7" s="7">
        <v>10.739552474196046</v>
      </c>
      <c r="BC7" s="7">
        <v>2.6200567807401995</v>
      </c>
      <c r="BD7" s="8">
        <v>7.9879271943224213</v>
      </c>
    </row>
    <row r="8" spans="1:56" x14ac:dyDescent="0.25">
      <c r="A8" s="12" t="s">
        <v>11</v>
      </c>
      <c r="B8" s="7">
        <v>6.3459655908138766</v>
      </c>
      <c r="C8" s="7">
        <v>1.3327839260174315</v>
      </c>
      <c r="D8" s="7">
        <v>2.218563348342085</v>
      </c>
      <c r="E8" s="7">
        <v>2.9672632074740111E-2</v>
      </c>
      <c r="F8" s="8">
        <v>2.4215584419194176</v>
      </c>
      <c r="G8" s="15">
        <v>6.340304026747356</v>
      </c>
      <c r="H8" s="7">
        <v>1.4674824651013147</v>
      </c>
      <c r="I8" s="7">
        <v>2.3807456647675211</v>
      </c>
      <c r="J8" s="7">
        <v>2.9672632074740111E-2</v>
      </c>
      <c r="K8" s="8">
        <v>2.5524812017899126</v>
      </c>
      <c r="L8" s="15">
        <v>6.3598087485961727</v>
      </c>
      <c r="M8" s="7">
        <v>1.3644931222708265</v>
      </c>
      <c r="N8" s="7">
        <v>2.2219649109141493</v>
      </c>
      <c r="O8" s="7">
        <v>2.9672632074740118E-2</v>
      </c>
      <c r="P8" s="8">
        <v>2.454658947235091</v>
      </c>
      <c r="Q8" s="15">
        <v>6.4318943276908653</v>
      </c>
      <c r="R8" s="7">
        <v>0.97354374873699412</v>
      </c>
      <c r="S8" s="7">
        <v>2.3294904580983338</v>
      </c>
      <c r="T8" s="7">
        <v>2.9672632074740118E-2</v>
      </c>
      <c r="U8" s="8">
        <v>2.2458954922000092</v>
      </c>
      <c r="V8" s="15">
        <v>6.5053235364763635</v>
      </c>
      <c r="W8" s="7">
        <v>1.3616035740401398</v>
      </c>
      <c r="X8" s="7">
        <v>2.4993555073847422</v>
      </c>
      <c r="Y8" s="7">
        <v>2.9672632074740121E-2</v>
      </c>
      <c r="Z8" s="8">
        <v>2.4578006823864365</v>
      </c>
      <c r="AA8" s="15">
        <v>6.5549870895406803</v>
      </c>
      <c r="AB8" s="7">
        <v>0.88185975040105447</v>
      </c>
      <c r="AC8" s="7">
        <v>2.0908593399306237</v>
      </c>
      <c r="AD8" s="7">
        <v>2.9672632074740118E-2</v>
      </c>
      <c r="AE8" s="8">
        <v>2.2677067395552526</v>
      </c>
      <c r="AF8" s="15">
        <v>6.4079242243467256</v>
      </c>
      <c r="AG8" s="7">
        <v>0.5849435370135504</v>
      </c>
      <c r="AH8" s="7">
        <v>2.7811543803163628</v>
      </c>
      <c r="AI8" s="7">
        <v>2.8580999718317766E-2</v>
      </c>
      <c r="AJ8" s="8">
        <v>2.5050047253171224</v>
      </c>
      <c r="AK8" s="15">
        <v>6.4217957215903869</v>
      </c>
      <c r="AL8" s="7">
        <v>0.57095221451999423</v>
      </c>
      <c r="AM8" s="7">
        <v>2.6802555215643884</v>
      </c>
      <c r="AN8" s="7">
        <v>5.7207438063872962E-2</v>
      </c>
      <c r="AO8" s="8">
        <v>2.6452958466982155</v>
      </c>
      <c r="AP8" s="15">
        <v>6.3801017018956383</v>
      </c>
      <c r="AQ8" s="7">
        <v>0.52137143577707046</v>
      </c>
      <c r="AR8" s="7">
        <v>2.6941390594526546</v>
      </c>
      <c r="AS8" s="7">
        <v>1.9070575483572966E-2</v>
      </c>
      <c r="AT8" s="8">
        <v>2.6935581287451051</v>
      </c>
      <c r="AU8" s="15">
        <v>6.4912498231784772</v>
      </c>
      <c r="AV8" s="7">
        <v>0.54318177874303475</v>
      </c>
      <c r="AW8" s="7">
        <v>2.8346115318366971</v>
      </c>
      <c r="AX8" s="7">
        <v>1.3831515033196743E-2</v>
      </c>
      <c r="AY8" s="8">
        <v>2.847535485741727</v>
      </c>
      <c r="AZ8" s="15">
        <v>6.2876796389220724</v>
      </c>
      <c r="BA8" s="7">
        <v>0.56392154080981827</v>
      </c>
      <c r="BB8" s="7">
        <v>2.7543826989201694</v>
      </c>
      <c r="BC8" s="7">
        <v>2.7955720411038242E-2</v>
      </c>
      <c r="BD8" s="8">
        <v>3.034345173093457</v>
      </c>
    </row>
    <row r="9" spans="1:56" x14ac:dyDescent="0.25">
      <c r="A9" s="12" t="s">
        <v>5</v>
      </c>
      <c r="B9" s="7">
        <v>3.3251771489558628</v>
      </c>
      <c r="C9" s="7">
        <v>12.397841780609387</v>
      </c>
      <c r="D9" s="7">
        <v>3.4290915754865119</v>
      </c>
      <c r="E9" s="7">
        <v>0.73706332430507981</v>
      </c>
      <c r="F9" s="8">
        <v>6.6819035540304048</v>
      </c>
      <c r="G9" s="15">
        <v>3.3323205762650856</v>
      </c>
      <c r="H9" s="7">
        <v>11.800648387313553</v>
      </c>
      <c r="I9" s="7">
        <v>3.3436563929935192</v>
      </c>
      <c r="J9" s="7">
        <v>0.73706332430507993</v>
      </c>
      <c r="K9" s="8">
        <v>6.4034124499686538</v>
      </c>
      <c r="L9" s="15">
        <v>3.3465869884441375</v>
      </c>
      <c r="M9" s="7">
        <v>11.694491374699666</v>
      </c>
      <c r="N9" s="7">
        <v>3.5126085474079369</v>
      </c>
      <c r="O9" s="7">
        <v>0.73706332430507993</v>
      </c>
      <c r="P9" s="8">
        <v>6.4130595631646266</v>
      </c>
      <c r="Q9" s="15">
        <v>3.3274383582207112</v>
      </c>
      <c r="R9" s="7">
        <v>13.560521510397635</v>
      </c>
      <c r="S9" s="7">
        <v>3.0957735937730861</v>
      </c>
      <c r="T9" s="7">
        <v>0.73706332430508004</v>
      </c>
      <c r="U9" s="8">
        <v>7.3346407763273076</v>
      </c>
      <c r="V9" s="15">
        <v>3.4083858638041211</v>
      </c>
      <c r="W9" s="7">
        <v>12.996347976610584</v>
      </c>
      <c r="X9" s="7">
        <v>2.7361762218391714</v>
      </c>
      <c r="Y9" s="7">
        <v>0.73706332430508004</v>
      </c>
      <c r="Z9" s="8">
        <v>7.1009427266989906</v>
      </c>
      <c r="AA9" s="15">
        <v>3.4385553324147793</v>
      </c>
      <c r="AB9" s="7">
        <v>11.2557783032108</v>
      </c>
      <c r="AC9" s="7">
        <v>4.8669715930851325</v>
      </c>
      <c r="AD9" s="7">
        <v>0.73706332430507993</v>
      </c>
      <c r="AE9" s="8">
        <v>6.926296602511826</v>
      </c>
      <c r="AF9" s="15">
        <v>3.190597845923862</v>
      </c>
      <c r="AG9" s="7">
        <v>12.440346771892745</v>
      </c>
      <c r="AH9" s="7">
        <v>2.9256427341287194</v>
      </c>
      <c r="AI9" s="7">
        <v>0.64801739459296792</v>
      </c>
      <c r="AJ9" s="8">
        <v>6.6554704516894052</v>
      </c>
      <c r="AK9" s="15">
        <v>3.563056197204173</v>
      </c>
      <c r="AL9" s="7">
        <v>11.264257401341295</v>
      </c>
      <c r="AM9" s="7">
        <v>2.4329124048055863</v>
      </c>
      <c r="AN9" s="7">
        <v>0.60261293843635488</v>
      </c>
      <c r="AO9" s="8">
        <v>5.824545766191342</v>
      </c>
      <c r="AP9" s="15">
        <v>3.4264612700023789</v>
      </c>
      <c r="AQ9" s="7">
        <v>10.514638055806735</v>
      </c>
      <c r="AR9" s="7">
        <v>2.3089339591540634</v>
      </c>
      <c r="AS9" s="7">
        <v>0.81590508482785773</v>
      </c>
      <c r="AT9" s="8">
        <v>5.4746036922870234</v>
      </c>
      <c r="AU9" s="15">
        <v>3.3419002179944384</v>
      </c>
      <c r="AV9" s="7">
        <v>9.5699346962566221</v>
      </c>
      <c r="AW9" s="7">
        <v>2.3112328406470799</v>
      </c>
      <c r="AX9" s="7">
        <v>0.88171787936313917</v>
      </c>
      <c r="AY9" s="8">
        <v>4.9935598222894226</v>
      </c>
      <c r="AZ9" s="15">
        <v>3.4345059295318352</v>
      </c>
      <c r="BA9" s="7">
        <v>8.3392488543542775</v>
      </c>
      <c r="BB9" s="7">
        <v>2.3236457994156803</v>
      </c>
      <c r="BC9" s="7">
        <v>0.78054992500140841</v>
      </c>
      <c r="BD9" s="8">
        <v>4.2455554478867494</v>
      </c>
    </row>
    <row r="10" spans="1:56" x14ac:dyDescent="0.25">
      <c r="A10" s="12" t="s">
        <v>18</v>
      </c>
      <c r="B10" s="7">
        <v>0.60765683592612263</v>
      </c>
      <c r="C10" s="7">
        <v>1.6056969221885831</v>
      </c>
      <c r="D10" s="7">
        <v>0.73624314343154351</v>
      </c>
      <c r="E10" s="7">
        <v>3.3339095772321595E-2</v>
      </c>
      <c r="F10" s="8">
        <v>1.0284898764068227</v>
      </c>
      <c r="G10" s="15">
        <v>0.60653798634208678</v>
      </c>
      <c r="H10" s="7">
        <v>1.6886270687112077</v>
      </c>
      <c r="I10" s="7">
        <v>0.69819004079344782</v>
      </c>
      <c r="J10" s="7">
        <v>3.3339095772321602E-2</v>
      </c>
      <c r="K10" s="8">
        <v>1.0339061491852588</v>
      </c>
      <c r="L10" s="15">
        <v>0.60986268903113727</v>
      </c>
      <c r="M10" s="7">
        <v>1.6377953854021268</v>
      </c>
      <c r="N10" s="7">
        <v>0.747225842160261</v>
      </c>
      <c r="O10" s="7">
        <v>3.3339095772321609E-2</v>
      </c>
      <c r="P10" s="8">
        <v>1.0338653272493603</v>
      </c>
      <c r="Q10" s="15">
        <v>0.61562453527619598</v>
      </c>
      <c r="R10" s="7">
        <v>1.2198425409230891</v>
      </c>
      <c r="S10" s="7">
        <v>0.67050892015949348</v>
      </c>
      <c r="T10" s="7">
        <v>3.3339095772321609E-2</v>
      </c>
      <c r="U10" s="8">
        <v>0.86850161482823118</v>
      </c>
      <c r="V10" s="15">
        <v>0.62061553921042034</v>
      </c>
      <c r="W10" s="7">
        <v>1.1742460184775869</v>
      </c>
      <c r="X10" s="7">
        <v>0.79414054075584306</v>
      </c>
      <c r="Y10" s="7">
        <v>3.3339095772321616E-2</v>
      </c>
      <c r="Z10" s="8">
        <v>0.91600411333185061</v>
      </c>
      <c r="AA10" s="15">
        <v>0.63326647416335424</v>
      </c>
      <c r="AB10" s="7">
        <v>0.89665832613159391</v>
      </c>
      <c r="AC10" s="7">
        <v>0.67757511716586671</v>
      </c>
      <c r="AD10" s="7">
        <v>3.3339095772321609E-2</v>
      </c>
      <c r="AE10" s="8">
        <v>0.73703044807148788</v>
      </c>
      <c r="AF10" s="15">
        <v>0.60983448456999878</v>
      </c>
      <c r="AG10" s="7">
        <v>0.80827552430147653</v>
      </c>
      <c r="AH10" s="7">
        <v>0.84700393777746275</v>
      </c>
      <c r="AI10" s="7">
        <v>2.2516835180504954E-2</v>
      </c>
      <c r="AJ10" s="8">
        <v>0.78293700430917412</v>
      </c>
      <c r="AK10" s="15">
        <v>0.60653719429875419</v>
      </c>
      <c r="AL10" s="7">
        <v>0.76965714540765773</v>
      </c>
      <c r="AM10" s="7">
        <v>0.80793640277387391</v>
      </c>
      <c r="AN10" s="7">
        <v>4.0498694140091489E-2</v>
      </c>
      <c r="AO10" s="8">
        <v>0.75395927678907837</v>
      </c>
      <c r="AP10" s="15">
        <v>0.63965173244401274</v>
      </c>
      <c r="AQ10" s="7">
        <v>0.84966542327026795</v>
      </c>
      <c r="AR10" s="7">
        <v>0.69145274948191993</v>
      </c>
      <c r="AS10" s="7">
        <v>4.7121754896946789E-2</v>
      </c>
      <c r="AT10" s="8">
        <v>0.73816854243868346</v>
      </c>
      <c r="AU10" s="15">
        <v>0.62667001966794267</v>
      </c>
      <c r="AV10" s="7">
        <v>0.54431440279761856</v>
      </c>
      <c r="AW10" s="7">
        <v>0.64332777469283697</v>
      </c>
      <c r="AX10" s="7">
        <v>2.3219098871743196E-2</v>
      </c>
      <c r="AY10" s="8">
        <v>0.60646334627168308</v>
      </c>
      <c r="AZ10" s="15">
        <v>0.57256572202540257</v>
      </c>
      <c r="BA10" s="7">
        <v>0.53384247892439995</v>
      </c>
      <c r="BB10" s="7">
        <v>0.6527923575116118</v>
      </c>
      <c r="BC10" s="7">
        <v>3.5835120436756775E-2</v>
      </c>
      <c r="BD10" s="8">
        <v>0.59573430953456197</v>
      </c>
    </row>
    <row r="11" spans="1:56" x14ac:dyDescent="0.25">
      <c r="A11" s="12" t="s">
        <v>13</v>
      </c>
      <c r="B11" s="7">
        <v>4.4049167132716702</v>
      </c>
      <c r="C11" s="7">
        <v>1.8186826302584211</v>
      </c>
      <c r="D11" s="7">
        <v>1.9073832614536819</v>
      </c>
      <c r="E11" s="7">
        <v>5.8493133324394979E-2</v>
      </c>
      <c r="F11" s="8">
        <v>2.187064158471828</v>
      </c>
      <c r="G11" s="15">
        <v>4.4009450684237628</v>
      </c>
      <c r="H11" s="7">
        <v>2.0060510096250881</v>
      </c>
      <c r="I11" s="7">
        <v>1.957786833051629</v>
      </c>
      <c r="J11" s="7">
        <v>5.8493133324394993E-2</v>
      </c>
      <c r="K11" s="8">
        <v>2.2782913619279483</v>
      </c>
      <c r="L11" s="15">
        <v>4.4213333159705979</v>
      </c>
      <c r="M11" s="7">
        <v>1.9682672383591571</v>
      </c>
      <c r="N11" s="7">
        <v>2.0451965525584224</v>
      </c>
      <c r="O11" s="7">
        <v>5.8493133324395E-2</v>
      </c>
      <c r="P11" s="8">
        <v>2.3109295890398802</v>
      </c>
      <c r="Q11" s="15">
        <v>4.4573944444818547</v>
      </c>
      <c r="R11" s="7">
        <v>1.3585288428001283</v>
      </c>
      <c r="S11" s="7">
        <v>2.0934991356569186</v>
      </c>
      <c r="T11" s="7">
        <v>5.8493133324395014E-2</v>
      </c>
      <c r="U11" s="8">
        <v>2.0426161660642728</v>
      </c>
      <c r="V11" s="15">
        <v>4.5148924694712571</v>
      </c>
      <c r="W11" s="7">
        <v>1.3911279525257476</v>
      </c>
      <c r="X11" s="7">
        <v>2.0474751068243044</v>
      </c>
      <c r="Y11" s="7">
        <v>5.8493133324395014E-2</v>
      </c>
      <c r="Z11" s="8">
        <v>2.0301355206659761</v>
      </c>
      <c r="AA11" s="15">
        <v>4.5769610465888855</v>
      </c>
      <c r="AB11" s="7">
        <v>1.0599089551265479</v>
      </c>
      <c r="AC11" s="7">
        <v>2.2099205026273676</v>
      </c>
      <c r="AD11" s="7">
        <v>5.8493133324395E-2</v>
      </c>
      <c r="AE11" s="8">
        <v>2.0896789742628354</v>
      </c>
      <c r="AF11" s="15">
        <v>4.3999329183109266</v>
      </c>
      <c r="AG11" s="7">
        <v>0.87319937178835583</v>
      </c>
      <c r="AH11" s="7">
        <v>2.5204663188298846</v>
      </c>
      <c r="AI11" s="7">
        <v>6.5571245127346925E-2</v>
      </c>
      <c r="AJ11" s="8">
        <v>2.1675381314542106</v>
      </c>
      <c r="AK11" s="15">
        <v>4.4773641583357868</v>
      </c>
      <c r="AL11" s="7">
        <v>0.7532248683500401</v>
      </c>
      <c r="AM11" s="7">
        <v>2.3422428129580148</v>
      </c>
      <c r="AN11" s="7">
        <v>8.8010884034291914E-2</v>
      </c>
      <c r="AO11" s="8">
        <v>2.1827039906607602</v>
      </c>
      <c r="AP11" s="15">
        <v>4.5378853991494079</v>
      </c>
      <c r="AQ11" s="7">
        <v>1.0098767638080508</v>
      </c>
      <c r="AR11" s="7">
        <v>2.5286325420330606</v>
      </c>
      <c r="AS11" s="7">
        <v>4.4979594401109844E-2</v>
      </c>
      <c r="AT11" s="8">
        <v>2.4106372619396765</v>
      </c>
      <c r="AU11" s="15">
        <v>4.5333430103180383</v>
      </c>
      <c r="AV11" s="7">
        <v>0.86391192868831934</v>
      </c>
      <c r="AW11" s="7">
        <v>2.2469556188106723</v>
      </c>
      <c r="AX11" s="7">
        <v>3.5410809734831253E-2</v>
      </c>
      <c r="AY11" s="8">
        <v>2.2720826673155186</v>
      </c>
      <c r="AZ11" s="15">
        <v>4.520879574318684</v>
      </c>
      <c r="BA11" s="7">
        <v>1.0049404654128116</v>
      </c>
      <c r="BB11" s="7">
        <v>2.2827077558764746</v>
      </c>
      <c r="BC11" s="7">
        <v>5.3568844587234113E-2</v>
      </c>
      <c r="BD11" s="8">
        <v>2.4868660594421113</v>
      </c>
    </row>
    <row r="12" spans="1:56" x14ac:dyDescent="0.25">
      <c r="A12" s="12" t="s">
        <v>6</v>
      </c>
      <c r="B12" s="7">
        <v>11.578601983690447</v>
      </c>
      <c r="C12" s="7">
        <v>2.7954896646697369</v>
      </c>
      <c r="D12" s="7">
        <v>3.74753774957107</v>
      </c>
      <c r="E12" s="7">
        <v>0.10122903994933899</v>
      </c>
      <c r="F12" s="8">
        <v>4.4094012467200443</v>
      </c>
      <c r="G12" s="15">
        <v>11.586635307399664</v>
      </c>
      <c r="H12" s="7">
        <v>3.1782713350937262</v>
      </c>
      <c r="I12" s="7">
        <v>3.8353064059533946</v>
      </c>
      <c r="J12" s="7">
        <v>0.101229039949339</v>
      </c>
      <c r="K12" s="8">
        <v>4.6132264153634726</v>
      </c>
      <c r="L12" s="15">
        <v>11.571998595397485</v>
      </c>
      <c r="M12" s="7">
        <v>3.4714370832647194</v>
      </c>
      <c r="N12" s="7">
        <v>3.9028153992249162</v>
      </c>
      <c r="O12" s="7">
        <v>0.101229039949339</v>
      </c>
      <c r="P12" s="8">
        <v>4.7663214949472437</v>
      </c>
      <c r="Q12" s="15">
        <v>11.650364746026092</v>
      </c>
      <c r="R12" s="7">
        <v>2.3277618557593893</v>
      </c>
      <c r="S12" s="7">
        <v>3.9680165392153715</v>
      </c>
      <c r="T12" s="7">
        <v>0.101229039949339</v>
      </c>
      <c r="U12" s="8">
        <v>4.1926001314853591</v>
      </c>
      <c r="V12" s="15">
        <v>11.738355069430998</v>
      </c>
      <c r="W12" s="7">
        <v>2.0217601611768403</v>
      </c>
      <c r="X12" s="7">
        <v>4.0915724615379467</v>
      </c>
      <c r="Y12" s="7">
        <v>0.10122903994933903</v>
      </c>
      <c r="Z12" s="8">
        <v>4.0714779446490645</v>
      </c>
      <c r="AA12" s="15">
        <v>11.597224389117876</v>
      </c>
      <c r="AB12" s="7">
        <v>3.4015414947820668</v>
      </c>
      <c r="AC12" s="7">
        <v>4.873385380561416</v>
      </c>
      <c r="AD12" s="7">
        <v>0.101229039949339</v>
      </c>
      <c r="AE12" s="8">
        <v>5.2300377451939761</v>
      </c>
      <c r="AF12" s="15">
        <v>11.681356009961689</v>
      </c>
      <c r="AG12" s="7">
        <v>2.8752081155468785</v>
      </c>
      <c r="AH12" s="7">
        <v>4.386693092893112</v>
      </c>
      <c r="AI12" s="7">
        <v>0.11980193482296561</v>
      </c>
      <c r="AJ12" s="8">
        <v>4.9783087498899352</v>
      </c>
      <c r="AK12" s="15">
        <v>11.793750136164425</v>
      </c>
      <c r="AL12" s="7">
        <v>1.1132019705373792</v>
      </c>
      <c r="AM12" s="7">
        <v>4.076274884396029</v>
      </c>
      <c r="AN12" s="7">
        <v>0.10919114883130125</v>
      </c>
      <c r="AO12" s="8">
        <v>4.5050371499338473</v>
      </c>
      <c r="AP12" s="15">
        <v>10.968006076913687</v>
      </c>
      <c r="AQ12" s="7">
        <v>1.20107715159568</v>
      </c>
      <c r="AR12" s="7">
        <v>3.8179146753433271</v>
      </c>
      <c r="AS12" s="7">
        <v>0.11091353782010452</v>
      </c>
      <c r="AT12" s="8">
        <v>4.3848242936648916</v>
      </c>
      <c r="AU12" s="15">
        <v>11.483578131328471</v>
      </c>
      <c r="AV12" s="7">
        <v>1.3270971694336184</v>
      </c>
      <c r="AW12" s="7">
        <v>3.3920022945792971</v>
      </c>
      <c r="AX12" s="7">
        <v>6.5009538322984589E-2</v>
      </c>
      <c r="AY12" s="8">
        <v>4.4377549140158017</v>
      </c>
      <c r="AZ12" s="15">
        <v>10.669342462707327</v>
      </c>
      <c r="BA12" s="7">
        <v>1.2625873071174993</v>
      </c>
      <c r="BB12" s="7">
        <v>3.7732794888711458</v>
      </c>
      <c r="BC12" s="7">
        <v>9.2393353820307542E-2</v>
      </c>
      <c r="BD12" s="8">
        <v>4.8142815876757439</v>
      </c>
    </row>
    <row r="13" spans="1:56" x14ac:dyDescent="0.25">
      <c r="A13" s="12" t="s">
        <v>17</v>
      </c>
      <c r="B13" s="7">
        <v>0.24509117544868611</v>
      </c>
      <c r="C13" s="7">
        <v>2.021637284608492</v>
      </c>
      <c r="D13" s="7">
        <v>1.0275530994520599</v>
      </c>
      <c r="E13" s="7">
        <v>1.5741647763317819</v>
      </c>
      <c r="F13" s="8">
        <v>1.2959357076096851</v>
      </c>
      <c r="G13" s="15">
        <v>0.24503906036597795</v>
      </c>
      <c r="H13" s="7">
        <v>2.0777295053200597</v>
      </c>
      <c r="I13" s="7">
        <v>1.0278309717458067</v>
      </c>
      <c r="J13" s="7">
        <v>1.5741647763317823</v>
      </c>
      <c r="K13" s="8">
        <v>1.3178801818632215</v>
      </c>
      <c r="L13" s="15">
        <v>0.2512302252396425</v>
      </c>
      <c r="M13" s="7">
        <v>2.0285917042810655</v>
      </c>
      <c r="N13" s="7">
        <v>0.95179566723371156</v>
      </c>
      <c r="O13" s="7">
        <v>1.5741647763317823</v>
      </c>
      <c r="P13" s="8">
        <v>1.2613005553144616</v>
      </c>
      <c r="Q13" s="15">
        <v>0.24258803663944711</v>
      </c>
      <c r="R13" s="7">
        <v>1.5966013366923482</v>
      </c>
      <c r="S13" s="7">
        <v>0.93444933073687353</v>
      </c>
      <c r="T13" s="7">
        <v>1.5741647763317823</v>
      </c>
      <c r="U13" s="8">
        <v>1.1335394153145579</v>
      </c>
      <c r="V13" s="15">
        <v>0.25194585852251467</v>
      </c>
      <c r="W13" s="7">
        <v>1.4616153631932611</v>
      </c>
      <c r="X13" s="7">
        <v>1.1089299774215016</v>
      </c>
      <c r="Y13" s="7">
        <v>1.5741647763317828</v>
      </c>
      <c r="Z13" s="8">
        <v>1.1624935503944402</v>
      </c>
      <c r="AA13" s="15">
        <v>0.27585798725690963</v>
      </c>
      <c r="AB13" s="7">
        <v>1.1626865346484785</v>
      </c>
      <c r="AC13" s="7">
        <v>0.97912574280667619</v>
      </c>
      <c r="AD13" s="7">
        <v>1.5741647763317823</v>
      </c>
      <c r="AE13" s="8">
        <v>0.95508580263762088</v>
      </c>
      <c r="AF13" s="15">
        <v>0.20742313106768365</v>
      </c>
      <c r="AG13" s="7">
        <v>1.1989472322370152</v>
      </c>
      <c r="AH13" s="7">
        <v>0.98005349927856533</v>
      </c>
      <c r="AI13" s="7">
        <v>1.3214344673171736</v>
      </c>
      <c r="AJ13" s="8">
        <v>0.93910772915216201</v>
      </c>
      <c r="AK13" s="15">
        <v>0.26818912840384801</v>
      </c>
      <c r="AL13" s="7">
        <v>1.1595326396852268</v>
      </c>
      <c r="AM13" s="7">
        <v>0.89960504709621392</v>
      </c>
      <c r="AN13" s="7">
        <v>1.3906602736834357</v>
      </c>
      <c r="AO13" s="8">
        <v>0.87105123365783299</v>
      </c>
      <c r="AP13" s="15">
        <v>0.33335624723578516</v>
      </c>
      <c r="AQ13" s="7">
        <v>1.3528266209703561</v>
      </c>
      <c r="AR13" s="7">
        <v>0.86519969975819111</v>
      </c>
      <c r="AS13" s="7">
        <v>1.7042965650460942</v>
      </c>
      <c r="AT13" s="8">
        <v>0.92669914393029262</v>
      </c>
      <c r="AU13" s="15">
        <v>0.27296366744856448</v>
      </c>
      <c r="AV13" s="7">
        <v>1.077523031036357</v>
      </c>
      <c r="AW13" s="7">
        <v>0.84366753658466043</v>
      </c>
      <c r="AX13" s="7">
        <v>1.8802677992804244</v>
      </c>
      <c r="AY13" s="8">
        <v>0.7994449010705349</v>
      </c>
      <c r="AZ13" s="15">
        <v>0.27189870330460242</v>
      </c>
      <c r="BA13" s="7">
        <v>1.1877082577322196</v>
      </c>
      <c r="BB13" s="7">
        <v>0.87851446244197295</v>
      </c>
      <c r="BC13" s="7">
        <v>1.6834080237826337</v>
      </c>
      <c r="BD13" s="8">
        <v>0.81431641226409757</v>
      </c>
    </row>
    <row r="14" spans="1:56" x14ac:dyDescent="0.25">
      <c r="A14" s="12" t="s">
        <v>8</v>
      </c>
      <c r="B14" s="7">
        <v>6.059067523921736</v>
      </c>
      <c r="C14" s="7">
        <v>2.4306865399619637</v>
      </c>
      <c r="D14" s="7">
        <v>3.7735040317177351</v>
      </c>
      <c r="E14" s="7">
        <v>0.13360623991267409</v>
      </c>
      <c r="F14" s="8">
        <v>3.5335687288383939</v>
      </c>
      <c r="G14" s="15">
        <v>6.0570972468169026</v>
      </c>
      <c r="H14" s="7">
        <v>2.1446710435308338</v>
      </c>
      <c r="I14" s="7">
        <v>5.0301730662895547</v>
      </c>
      <c r="J14" s="7">
        <v>0.13360623991267409</v>
      </c>
      <c r="K14" s="8">
        <v>3.980115665792018</v>
      </c>
      <c r="L14" s="15">
        <v>6.0583422100761908</v>
      </c>
      <c r="M14" s="7">
        <v>2.1846424730950269</v>
      </c>
      <c r="N14" s="7">
        <v>3.7793964030882004</v>
      </c>
      <c r="O14" s="7">
        <v>0.13360623991267412</v>
      </c>
      <c r="P14" s="8">
        <v>3.4274359336842695</v>
      </c>
      <c r="Q14" s="15">
        <v>6.1521610848756705</v>
      </c>
      <c r="R14" s="7">
        <v>1.5539680160081877</v>
      </c>
      <c r="S14" s="7">
        <v>3.8138784800727876</v>
      </c>
      <c r="T14" s="7">
        <v>0.13360623991267412</v>
      </c>
      <c r="U14" s="8">
        <v>3.0856401839125271</v>
      </c>
      <c r="V14" s="15">
        <v>6.225972162220315</v>
      </c>
      <c r="W14" s="7">
        <v>1.3009818935195698</v>
      </c>
      <c r="X14" s="7">
        <v>4.2976265979583221</v>
      </c>
      <c r="Y14" s="7">
        <v>0.13360623991267412</v>
      </c>
      <c r="Z14" s="8">
        <v>3.178221480229499</v>
      </c>
      <c r="AA14" s="15">
        <v>6.1920275583224962</v>
      </c>
      <c r="AB14" s="7">
        <v>1.8080196644785087</v>
      </c>
      <c r="AC14" s="7">
        <v>3.8385797215040167</v>
      </c>
      <c r="AD14" s="7">
        <v>0.13360623991267412</v>
      </c>
      <c r="AE14" s="8">
        <v>3.3525802456083631</v>
      </c>
      <c r="AF14" s="15">
        <v>6.2035606715953797</v>
      </c>
      <c r="AG14" s="7">
        <v>1.1762157706902503</v>
      </c>
      <c r="AH14" s="7">
        <v>3.9372878585045297</v>
      </c>
      <c r="AI14" s="7">
        <v>0.20074063132505077</v>
      </c>
      <c r="AJ14" s="8">
        <v>3.2010821691675373</v>
      </c>
      <c r="AK14" s="15">
        <v>6.1557964273623291</v>
      </c>
      <c r="AL14" s="7">
        <v>1.2688025642582057</v>
      </c>
      <c r="AM14" s="7">
        <v>3.8621339159685659</v>
      </c>
      <c r="AN14" s="7">
        <v>0.16324943310259019</v>
      </c>
      <c r="AO14" s="8">
        <v>3.370334264953303</v>
      </c>
      <c r="AP14" s="15">
        <v>5.7858319813572123</v>
      </c>
      <c r="AQ14" s="7">
        <v>0.93310292112404847</v>
      </c>
      <c r="AR14" s="7">
        <v>5.0077594974046802</v>
      </c>
      <c r="AS14" s="7">
        <v>7.6638712878642948E-2</v>
      </c>
      <c r="AT14" s="8">
        <v>3.7238824240180595</v>
      </c>
      <c r="AU14" s="15">
        <v>6.1275279681984909</v>
      </c>
      <c r="AV14" s="7">
        <v>0.84960802705781846</v>
      </c>
      <c r="AW14" s="7">
        <v>4.0835883151147616</v>
      </c>
      <c r="AX14" s="7">
        <v>9.3796182344412421E-2</v>
      </c>
      <c r="AY14" s="8">
        <v>3.4300763653086372</v>
      </c>
      <c r="AZ14" s="15">
        <v>5.9923890056930729</v>
      </c>
      <c r="BA14" s="7">
        <v>0.99943356399243655</v>
      </c>
      <c r="BB14" s="7">
        <v>4.0406031123510582</v>
      </c>
      <c r="BC14" s="7">
        <v>0.10822714368721557</v>
      </c>
      <c r="BD14" s="8">
        <v>3.6772405907898564</v>
      </c>
    </row>
    <row r="15" spans="1:56" x14ac:dyDescent="0.25">
      <c r="A15" s="12" t="s">
        <v>9</v>
      </c>
      <c r="B15" s="7">
        <v>4.0441451442356602</v>
      </c>
      <c r="C15" s="7">
        <v>2.1788579648297963</v>
      </c>
      <c r="D15" s="7">
        <v>3.4468631395334599</v>
      </c>
      <c r="E15" s="7">
        <v>0.4657649371250015</v>
      </c>
      <c r="F15" s="8">
        <v>3.0141268707327433</v>
      </c>
      <c r="G15" s="15">
        <v>4.0444808943370276</v>
      </c>
      <c r="H15" s="7">
        <v>2.2925089966554562</v>
      </c>
      <c r="I15" s="7">
        <v>3.5776828481630045</v>
      </c>
      <c r="J15" s="7">
        <v>0.46576493712500155</v>
      </c>
      <c r="K15" s="8">
        <v>3.0865832673086762</v>
      </c>
      <c r="L15" s="15">
        <v>4.1051769707439147</v>
      </c>
      <c r="M15" s="7">
        <v>2.3091544140747682</v>
      </c>
      <c r="N15" s="7">
        <v>3.5060527595612858</v>
      </c>
      <c r="O15" s="7">
        <v>0.46576493712500155</v>
      </c>
      <c r="P15" s="8">
        <v>3.0699271331350437</v>
      </c>
      <c r="Q15" s="15">
        <v>4.0413592290692861</v>
      </c>
      <c r="R15" s="7">
        <v>1.6018064226420357</v>
      </c>
      <c r="S15" s="7">
        <v>3.5439866088029461</v>
      </c>
      <c r="T15" s="7">
        <v>0.46576493712500167</v>
      </c>
      <c r="U15" s="8">
        <v>2.7212131790025151</v>
      </c>
      <c r="V15" s="15">
        <v>4.1606235270258924</v>
      </c>
      <c r="W15" s="7">
        <v>2.0550742238126558</v>
      </c>
      <c r="X15" s="7">
        <v>3.4529774573005665</v>
      </c>
      <c r="Y15" s="7">
        <v>0.46576493712500167</v>
      </c>
      <c r="Z15" s="8">
        <v>2.8837317267024405</v>
      </c>
      <c r="AA15" s="15">
        <v>4.3787394154293882</v>
      </c>
      <c r="AB15" s="7">
        <v>1.7000365716661425</v>
      </c>
      <c r="AC15" s="7">
        <v>3.5067639923090907</v>
      </c>
      <c r="AD15" s="7">
        <v>0.46576493712500155</v>
      </c>
      <c r="AE15" s="8">
        <v>2.8957236863617011</v>
      </c>
      <c r="AF15" s="15">
        <v>3.6976166775857542</v>
      </c>
      <c r="AG15" s="7">
        <v>1.0922810199361437</v>
      </c>
      <c r="AH15" s="7">
        <v>3.6264023577523141</v>
      </c>
      <c r="AI15" s="7">
        <v>0.69082072638903791</v>
      </c>
      <c r="AJ15" s="8">
        <v>2.6180143808366791</v>
      </c>
      <c r="AK15" s="15">
        <v>4.3241877305928691</v>
      </c>
      <c r="AL15" s="7">
        <v>1.217828314559406</v>
      </c>
      <c r="AM15" s="7">
        <v>3.9422743969589251</v>
      </c>
      <c r="AN15" s="7">
        <v>0.5661028019804244</v>
      </c>
      <c r="AO15" s="8">
        <v>3.0323435158670842</v>
      </c>
      <c r="AP15" s="15">
        <v>4.7957201052408953</v>
      </c>
      <c r="AQ15" s="7">
        <v>1.0304255386047279</v>
      </c>
      <c r="AR15" s="7">
        <v>4.1947269533950253</v>
      </c>
      <c r="AS15" s="7">
        <v>0.31270579335736765</v>
      </c>
      <c r="AT15" s="8">
        <v>3.1971008986109064</v>
      </c>
      <c r="AU15" s="15">
        <v>4.3257550646222418</v>
      </c>
      <c r="AV15" s="7">
        <v>1.3690683834688708</v>
      </c>
      <c r="AW15" s="7">
        <v>3.9168794272355978</v>
      </c>
      <c r="AX15" s="7">
        <v>0.29343042677317588</v>
      </c>
      <c r="AY15" s="8">
        <v>3.143307799773237</v>
      </c>
      <c r="AZ15" s="15">
        <v>4.4287674802052761</v>
      </c>
      <c r="BA15" s="7">
        <v>1.6075695823048373</v>
      </c>
      <c r="BB15" s="7">
        <v>3.5551540385001497</v>
      </c>
      <c r="BC15" s="7">
        <v>0.37784281473745007</v>
      </c>
      <c r="BD15" s="8">
        <v>3.2224455118668969</v>
      </c>
    </row>
    <row r="16" spans="1:56" x14ac:dyDescent="0.25">
      <c r="A16" s="12" t="s">
        <v>1</v>
      </c>
      <c r="B16" s="7">
        <v>5.7511122094408105</v>
      </c>
      <c r="C16" s="7">
        <v>18.955605297041956</v>
      </c>
      <c r="D16" s="7">
        <v>56.494747276978799</v>
      </c>
      <c r="E16" s="7">
        <v>93.06977362575654</v>
      </c>
      <c r="F16" s="8">
        <v>36.281920153082133</v>
      </c>
      <c r="G16" s="15">
        <v>5.7651388293989196</v>
      </c>
      <c r="H16" s="7">
        <v>19.868007347706925</v>
      </c>
      <c r="I16" s="7">
        <v>54.442541008074521</v>
      </c>
      <c r="J16" s="7">
        <v>93.06977362575654</v>
      </c>
      <c r="K16" s="8">
        <v>35.634306081273621</v>
      </c>
      <c r="L16" s="15">
        <v>5.6151402085584712</v>
      </c>
      <c r="M16" s="7">
        <v>19.164384416253103</v>
      </c>
      <c r="N16" s="7">
        <v>55.670220925003186</v>
      </c>
      <c r="O16" s="7">
        <v>93.06977362575654</v>
      </c>
      <c r="P16" s="8">
        <v>35.956626190357795</v>
      </c>
      <c r="Q16" s="15">
        <v>5.3285471829975402</v>
      </c>
      <c r="R16" s="7">
        <v>16.77399361841324</v>
      </c>
      <c r="S16" s="7">
        <v>55.57228404894289</v>
      </c>
      <c r="T16" s="7">
        <v>93.069773625756568</v>
      </c>
      <c r="U16" s="8">
        <v>34.219037847288099</v>
      </c>
      <c r="V16" s="15">
        <v>4.7821078320133683</v>
      </c>
      <c r="W16" s="7">
        <v>15.070318629398033</v>
      </c>
      <c r="X16" s="7">
        <v>54.636856145158774</v>
      </c>
      <c r="Y16" s="7">
        <v>93.069773625756568</v>
      </c>
      <c r="Z16" s="8">
        <v>32.670113191672087</v>
      </c>
      <c r="AA16" s="15">
        <v>4.4068553272714617</v>
      </c>
      <c r="AB16" s="7">
        <v>16.808984568013013</v>
      </c>
      <c r="AC16" s="7">
        <v>51.915647717982317</v>
      </c>
      <c r="AD16" s="7">
        <v>93.069773625756554</v>
      </c>
      <c r="AE16" s="8">
        <v>32.67105886068272</v>
      </c>
      <c r="AF16" s="15">
        <v>5.8851823341363785</v>
      </c>
      <c r="AG16" s="7">
        <v>15.187463597165166</v>
      </c>
      <c r="AH16" s="7">
        <v>51.468443842188726</v>
      </c>
      <c r="AI16" s="7">
        <v>92.697594056506389</v>
      </c>
      <c r="AJ16" s="8">
        <v>30.100656462623661</v>
      </c>
      <c r="AK16" s="15">
        <v>4.8454991659597324</v>
      </c>
      <c r="AL16" s="7">
        <v>19.568085301272824</v>
      </c>
      <c r="AM16" s="7">
        <v>53.519768368518569</v>
      </c>
      <c r="AN16" s="7">
        <v>93.329384852217927</v>
      </c>
      <c r="AO16" s="8">
        <v>31.913845188084306</v>
      </c>
      <c r="AP16" s="15">
        <v>5.1002135574723733</v>
      </c>
      <c r="AQ16" s="7">
        <v>20.773823324407811</v>
      </c>
      <c r="AR16" s="7">
        <v>52.64020282248817</v>
      </c>
      <c r="AS16" s="7">
        <v>93.355225646696837</v>
      </c>
      <c r="AT16" s="8">
        <v>31.256031732712781</v>
      </c>
      <c r="AU16" s="15">
        <v>5.1080344505195905</v>
      </c>
      <c r="AV16" s="7">
        <v>20.277930230044714</v>
      </c>
      <c r="AW16" s="7">
        <v>51.815380049303236</v>
      </c>
      <c r="AX16" s="7">
        <v>92.896889947605004</v>
      </c>
      <c r="AY16" s="8">
        <v>31.044214506209038</v>
      </c>
      <c r="AZ16" s="15">
        <v>4.5586747234550904</v>
      </c>
      <c r="BA16" s="7">
        <v>25.138944663084988</v>
      </c>
      <c r="BB16" s="7">
        <v>49.779470413877291</v>
      </c>
      <c r="BC16" s="7">
        <v>93.167827960071421</v>
      </c>
      <c r="BD16" s="8">
        <v>31.807959672804547</v>
      </c>
    </row>
    <row r="17" spans="1:56" x14ac:dyDescent="0.25">
      <c r="A17" s="12" t="s">
        <v>14</v>
      </c>
      <c r="B17" s="7">
        <v>4.4228593432092618</v>
      </c>
      <c r="C17" s="7">
        <v>2.2621547326555063</v>
      </c>
      <c r="D17" s="7">
        <v>1.9438049534834616</v>
      </c>
      <c r="E17" s="7">
        <v>2.578450611943672E-2</v>
      </c>
      <c r="F17" s="8">
        <v>2.3700633068098438</v>
      </c>
      <c r="G17" s="15">
        <v>4.4090099597506871</v>
      </c>
      <c r="H17" s="7">
        <v>2.4406137125521505</v>
      </c>
      <c r="I17" s="7">
        <v>2.0517709063618423</v>
      </c>
      <c r="J17" s="7">
        <v>2.5784506119436727E-2</v>
      </c>
      <c r="K17" s="8">
        <v>2.4825650946172781</v>
      </c>
      <c r="L17" s="15">
        <v>4.4319929252629349</v>
      </c>
      <c r="M17" s="7">
        <v>2.116459200052208</v>
      </c>
      <c r="N17" s="7">
        <v>2.0875314653260162</v>
      </c>
      <c r="O17" s="7">
        <v>2.5784506119436727E-2</v>
      </c>
      <c r="P17" s="8">
        <v>2.3853525344066338</v>
      </c>
      <c r="Q17" s="15">
        <v>4.4929411416725955</v>
      </c>
      <c r="R17" s="7">
        <v>1.8722675713122847</v>
      </c>
      <c r="S17" s="7">
        <v>2.1523834935092299</v>
      </c>
      <c r="T17" s="7">
        <v>2.578450611943673E-2</v>
      </c>
      <c r="U17" s="8">
        <v>2.2816707591377265</v>
      </c>
      <c r="V17" s="15">
        <v>4.4919388633600912</v>
      </c>
      <c r="W17" s="7">
        <v>1.6264078107530975</v>
      </c>
      <c r="X17" s="7">
        <v>2.0281182842605623</v>
      </c>
      <c r="Y17" s="7">
        <v>2.578450611943673E-2</v>
      </c>
      <c r="Z17" s="8">
        <v>2.1174172392491015</v>
      </c>
      <c r="AA17" s="15">
        <v>4.5970778773688732</v>
      </c>
      <c r="AB17" s="7">
        <v>1.536266467371129</v>
      </c>
      <c r="AC17" s="7">
        <v>2.259545861657974</v>
      </c>
      <c r="AD17" s="7">
        <v>2.5784506119436727E-2</v>
      </c>
      <c r="AE17" s="8">
        <v>2.2913814853332468</v>
      </c>
      <c r="AF17" s="15">
        <v>4.5087779678670632</v>
      </c>
      <c r="AG17" s="7">
        <v>1.2193505776853166</v>
      </c>
      <c r="AH17" s="7">
        <v>2.6065857746004037</v>
      </c>
      <c r="AI17" s="7">
        <v>3.3944156742597945E-2</v>
      </c>
      <c r="AJ17" s="8">
        <v>2.3575892285239979</v>
      </c>
      <c r="AK17" s="15">
        <v>4.2818295017719157</v>
      </c>
      <c r="AL17" s="7">
        <v>1.1997099890473908</v>
      </c>
      <c r="AM17" s="7">
        <v>2.4153798486301561</v>
      </c>
      <c r="AN17" s="7">
        <v>2.3855967048640275E-2</v>
      </c>
      <c r="AO17" s="8">
        <v>2.3376523960653084</v>
      </c>
      <c r="AP17" s="15">
        <v>4.6850900298302856</v>
      </c>
      <c r="AQ17" s="7">
        <v>1.160363024484544</v>
      </c>
      <c r="AR17" s="7">
        <v>2.0291090703643331</v>
      </c>
      <c r="AS17" s="7">
        <v>2.3102630339137908E-2</v>
      </c>
      <c r="AT17" s="8">
        <v>2.2776138127327599</v>
      </c>
      <c r="AU17" s="15">
        <v>4.5464466311370755</v>
      </c>
      <c r="AV17" s="7">
        <v>0.9661184251875522</v>
      </c>
      <c r="AW17" s="7">
        <v>2.0239458659975464</v>
      </c>
      <c r="AX17" s="7">
        <v>2.2235270347370759E-2</v>
      </c>
      <c r="AY17" s="8">
        <v>2.210065384529226</v>
      </c>
      <c r="AZ17" s="15">
        <v>4.5818903574445766</v>
      </c>
      <c r="BA17" s="7">
        <v>1.0241411667507205</v>
      </c>
      <c r="BB17" s="7">
        <v>2.2398779998825651</v>
      </c>
      <c r="BC17" s="7">
        <v>2.2978179845515569E-2</v>
      </c>
      <c r="BD17" s="8">
        <v>2.487530930744775</v>
      </c>
    </row>
    <row r="18" spans="1:56" x14ac:dyDescent="0.25">
      <c r="A18" s="12" t="s">
        <v>10</v>
      </c>
      <c r="B18" s="7">
        <v>4.6598029057724375</v>
      </c>
      <c r="C18" s="7">
        <v>3.0102116589241734</v>
      </c>
      <c r="D18" s="7">
        <v>1.7300434298456644</v>
      </c>
      <c r="E18" s="7">
        <v>8.1646635455697836E-2</v>
      </c>
      <c r="F18" s="8">
        <v>2.576954935096321</v>
      </c>
      <c r="G18" s="15">
        <v>4.6562962244344313</v>
      </c>
      <c r="H18" s="7">
        <v>3.2660415984363276</v>
      </c>
      <c r="I18" s="7">
        <v>1.6294221876082888</v>
      </c>
      <c r="J18" s="7">
        <v>8.1646635455697836E-2</v>
      </c>
      <c r="K18" s="8">
        <v>2.6316673126353534</v>
      </c>
      <c r="L18" s="15">
        <v>4.6568154853701911</v>
      </c>
      <c r="M18" s="7">
        <v>3.1542821562954124</v>
      </c>
      <c r="N18" s="7">
        <v>1.6361568873557508</v>
      </c>
      <c r="O18" s="7">
        <v>8.164663545569785E-2</v>
      </c>
      <c r="P18" s="8">
        <v>2.5941224549203246</v>
      </c>
      <c r="Q18" s="15">
        <v>4.7358250533617836</v>
      </c>
      <c r="R18" s="7">
        <v>2.7005533133547805</v>
      </c>
      <c r="S18" s="7">
        <v>1.6652920444063142</v>
      </c>
      <c r="T18" s="7">
        <v>8.1646635455697864E-2</v>
      </c>
      <c r="U18" s="8">
        <v>2.445487632891346</v>
      </c>
      <c r="V18" s="15">
        <v>4.7799155857881086</v>
      </c>
      <c r="W18" s="7">
        <v>3.522812460397859</v>
      </c>
      <c r="X18" s="7">
        <v>1.674071759443265</v>
      </c>
      <c r="Y18" s="7">
        <v>8.1646635455697864E-2</v>
      </c>
      <c r="Z18" s="8">
        <v>2.800680295410872</v>
      </c>
      <c r="AA18" s="15">
        <v>4.758040047726344</v>
      </c>
      <c r="AB18" s="7">
        <v>4.9200816490179538</v>
      </c>
      <c r="AC18" s="7">
        <v>1.9696612667544768</v>
      </c>
      <c r="AD18" s="7">
        <v>8.164663545569785E-2</v>
      </c>
      <c r="AE18" s="8">
        <v>3.4421242094964062</v>
      </c>
      <c r="AF18" s="15">
        <v>4.7958624085705637</v>
      </c>
      <c r="AG18" s="7">
        <v>3.6168477574757141</v>
      </c>
      <c r="AH18" s="7">
        <v>1.8572115194284811</v>
      </c>
      <c r="AI18" s="7">
        <v>7.4675931934101283E-2</v>
      </c>
      <c r="AJ18" s="8">
        <v>3.0184464367891159</v>
      </c>
      <c r="AK18" s="15">
        <v>4.6884277722032452</v>
      </c>
      <c r="AL18" s="7">
        <v>2.9822868549949337</v>
      </c>
      <c r="AM18" s="7">
        <v>1.6804817989707219</v>
      </c>
      <c r="AN18" s="7">
        <v>9.2344440478572584E-2</v>
      </c>
      <c r="AO18" s="8">
        <v>2.7306486752902512</v>
      </c>
      <c r="AP18" s="15">
        <v>4.4582189038901623</v>
      </c>
      <c r="AQ18" s="7">
        <v>3.8222424978729643</v>
      </c>
      <c r="AR18" s="7">
        <v>1.7278308012883812</v>
      </c>
      <c r="AS18" s="7">
        <v>6.9989635930042524E-2</v>
      </c>
      <c r="AT18" s="8">
        <v>3.0492033767777751</v>
      </c>
      <c r="AU18" s="15">
        <v>4.7084954548662203</v>
      </c>
      <c r="AV18" s="7">
        <v>3.6998188166481767</v>
      </c>
      <c r="AW18" s="7">
        <v>1.5725609211018472</v>
      </c>
      <c r="AX18" s="7">
        <v>8.9576533480074938E-2</v>
      </c>
      <c r="AY18" s="8">
        <v>2.9699027840104044</v>
      </c>
      <c r="AZ18" s="15">
        <v>4.4278032653124484</v>
      </c>
      <c r="BA18" s="7">
        <v>3.3304974033441113</v>
      </c>
      <c r="BB18" s="7">
        <v>1.8491322025453183</v>
      </c>
      <c r="BC18" s="7">
        <v>8.4095369980844603E-2</v>
      </c>
      <c r="BD18" s="8">
        <v>2.8994961060521072</v>
      </c>
    </row>
    <row r="19" spans="1:56" x14ac:dyDescent="0.25">
      <c r="A19" s="12" t="s">
        <v>22</v>
      </c>
      <c r="B19" s="7">
        <v>10.68881849418219</v>
      </c>
      <c r="C19" s="7">
        <v>1.7382646377295887</v>
      </c>
      <c r="D19" s="7">
        <v>2.9485138815395384</v>
      </c>
      <c r="E19" s="7">
        <v>3.6663039549482558E-2</v>
      </c>
      <c r="F19" s="8">
        <v>3.5141735352723544</v>
      </c>
      <c r="G19" s="15">
        <v>10.657283315767332</v>
      </c>
      <c r="H19" s="7">
        <v>1.855884332771444</v>
      </c>
      <c r="I19" s="7">
        <v>2.9340065265670816</v>
      </c>
      <c r="J19" s="7">
        <v>3.6663039549482572E-2</v>
      </c>
      <c r="K19" s="8">
        <v>3.5742521262954829</v>
      </c>
      <c r="L19" s="15">
        <v>10.732741536912489</v>
      </c>
      <c r="M19" s="7">
        <v>1.7758806978395891</v>
      </c>
      <c r="N19" s="7">
        <v>3.0307687603965374</v>
      </c>
      <c r="O19" s="7">
        <v>3.6663039549482572E-2</v>
      </c>
      <c r="P19" s="8">
        <v>3.6194792025254343</v>
      </c>
      <c r="Q19" s="15">
        <v>10.833884387825085</v>
      </c>
      <c r="R19" s="7">
        <v>1.3429692097143338</v>
      </c>
      <c r="S19" s="7">
        <v>3.1393434963753313</v>
      </c>
      <c r="T19" s="7">
        <v>3.6663039549482572E-2</v>
      </c>
      <c r="U19" s="8">
        <v>3.3250118422251647</v>
      </c>
      <c r="V19" s="15">
        <v>10.864154809057354</v>
      </c>
      <c r="W19" s="7">
        <v>1.2921348512895618</v>
      </c>
      <c r="X19" s="7">
        <v>3.0866386851888592</v>
      </c>
      <c r="Y19" s="7">
        <v>3.6663039549482572E-2</v>
      </c>
      <c r="Z19" s="8">
        <v>3.2198214688748514</v>
      </c>
      <c r="AA19" s="15">
        <v>11.19571962466653</v>
      </c>
      <c r="AB19" s="7">
        <v>1.0418511880788113</v>
      </c>
      <c r="AC19" s="7">
        <v>3.4377799118653685</v>
      </c>
      <c r="AD19" s="7">
        <v>3.6663039549482572E-2</v>
      </c>
      <c r="AE19" s="8">
        <v>3.6398710176900746</v>
      </c>
      <c r="AF19" s="15">
        <v>10.736369708426139</v>
      </c>
      <c r="AG19" s="7">
        <v>1.0541203256496743</v>
      </c>
      <c r="AH19" s="7">
        <v>3.8582733090680033</v>
      </c>
      <c r="AI19" s="7">
        <v>3.9395292566787539E-2</v>
      </c>
      <c r="AJ19" s="8">
        <v>3.8806179712683373</v>
      </c>
      <c r="AK19" s="15">
        <v>10.452049642954677</v>
      </c>
      <c r="AL19" s="7">
        <v>0.354351603517151</v>
      </c>
      <c r="AM19" s="7">
        <v>3.3983246398910163</v>
      </c>
      <c r="AN19" s="7">
        <v>4.6079261650727205E-2</v>
      </c>
      <c r="AO19" s="8">
        <v>3.6699070090616299</v>
      </c>
      <c r="AP19" s="15">
        <v>11.640201651781632</v>
      </c>
      <c r="AQ19" s="7">
        <v>0.54109211949037461</v>
      </c>
      <c r="AR19" s="7">
        <v>3.6605814955018219</v>
      </c>
      <c r="AS19" s="7">
        <v>3.3110923404504278E-2</v>
      </c>
      <c r="AT19" s="8">
        <v>4.2213558715794974</v>
      </c>
      <c r="AU19" s="15">
        <v>11.100997084593867</v>
      </c>
      <c r="AV19" s="7">
        <v>0.91550415626089965</v>
      </c>
      <c r="AW19" s="7">
        <v>3.3338800503671329</v>
      </c>
      <c r="AX19" s="7">
        <v>2.8066680575911239E-2</v>
      </c>
      <c r="AY19" s="8">
        <v>4.1899228731648313</v>
      </c>
      <c r="AZ19" s="15">
        <v>11.346688092349973</v>
      </c>
      <c r="BA19" s="7">
        <v>0.98618724279790482</v>
      </c>
      <c r="BB19" s="7">
        <v>3.4426086734492425</v>
      </c>
      <c r="BC19" s="7">
        <v>3.4851061904154552E-2</v>
      </c>
      <c r="BD19" s="8">
        <v>4.7566044651423622</v>
      </c>
    </row>
    <row r="20" spans="1:56" x14ac:dyDescent="0.25">
      <c r="A20" s="12" t="s">
        <v>12</v>
      </c>
      <c r="B20" s="7">
        <v>6.3849352671130193</v>
      </c>
      <c r="C20" s="7">
        <v>1.6764398335804418</v>
      </c>
      <c r="D20" s="7">
        <v>2.0720576941678495</v>
      </c>
      <c r="E20" s="7">
        <v>4.0170827143640758E-2</v>
      </c>
      <c r="F20" s="8">
        <v>2.4836905658817185</v>
      </c>
      <c r="G20" s="15">
        <v>6.3786173497306917</v>
      </c>
      <c r="H20" s="7">
        <v>1.6892613857513421</v>
      </c>
      <c r="I20" s="7">
        <v>2.1269831197464422</v>
      </c>
      <c r="J20" s="7">
        <v>4.0170827143640765E-2</v>
      </c>
      <c r="K20" s="8">
        <v>2.5240172197801156</v>
      </c>
      <c r="L20" s="15">
        <v>6.3740227669842513</v>
      </c>
      <c r="M20" s="7">
        <v>1.642421192267866</v>
      </c>
      <c r="N20" s="7">
        <v>2.1499478218837833</v>
      </c>
      <c r="O20" s="7">
        <v>4.0170827143640765E-2</v>
      </c>
      <c r="P20" s="8">
        <v>2.5260533409061106</v>
      </c>
      <c r="Q20" s="15">
        <v>6.4967067839977171</v>
      </c>
      <c r="R20" s="7">
        <v>1.3847107411815223</v>
      </c>
      <c r="S20" s="7">
        <v>2.2443938977968863</v>
      </c>
      <c r="T20" s="7">
        <v>4.0170827143640772E-2</v>
      </c>
      <c r="U20" s="8">
        <v>2.3864795608320053</v>
      </c>
      <c r="V20" s="15">
        <v>6.5421482681882805</v>
      </c>
      <c r="W20" s="7">
        <v>1.0122413956406155</v>
      </c>
      <c r="X20" s="7">
        <v>2.4356404509627039</v>
      </c>
      <c r="Y20" s="7">
        <v>4.0170827143640772E-2</v>
      </c>
      <c r="Z20" s="8">
        <v>2.2876780617270502</v>
      </c>
      <c r="AA20" s="15">
        <v>6.4928821992020502</v>
      </c>
      <c r="AB20" s="7">
        <v>0.96032530422202367</v>
      </c>
      <c r="AC20" s="7">
        <v>2.2386812676691275</v>
      </c>
      <c r="AD20" s="7">
        <v>4.0170827143640765E-2</v>
      </c>
      <c r="AE20" s="8">
        <v>2.3548088347722826</v>
      </c>
      <c r="AF20" s="15">
        <v>6.6239242198495569</v>
      </c>
      <c r="AG20" s="7">
        <v>1.1499541341666382</v>
      </c>
      <c r="AH20" s="7">
        <v>2.4432092240090943</v>
      </c>
      <c r="AI20" s="7">
        <v>1.8115021345652703E-2</v>
      </c>
      <c r="AJ20" s="8">
        <v>2.6159948195875375</v>
      </c>
      <c r="AK20" s="15">
        <v>6.3741728786617182</v>
      </c>
      <c r="AL20" s="7">
        <v>1.2358006757822269</v>
      </c>
      <c r="AM20" s="7">
        <v>2.5172931027853163</v>
      </c>
      <c r="AN20" s="7">
        <v>5.6422090616404644E-2</v>
      </c>
      <c r="AO20" s="8">
        <v>2.8025490908846482</v>
      </c>
      <c r="AP20" s="15">
        <v>6.0291848599803437</v>
      </c>
      <c r="AQ20" s="7">
        <v>0.96407120717015538</v>
      </c>
      <c r="AR20" s="7">
        <v>2.3913177606642568</v>
      </c>
      <c r="AS20" s="7">
        <v>4.5736746117368124E-2</v>
      </c>
      <c r="AT20" s="8">
        <v>2.6462970359449627</v>
      </c>
      <c r="AU20" s="15">
        <v>6.4373399853972817</v>
      </c>
      <c r="AV20" s="7">
        <v>0.82725428933753975</v>
      </c>
      <c r="AW20" s="7">
        <v>2.1499661238128782</v>
      </c>
      <c r="AX20" s="7">
        <v>4.0409450495137597E-2</v>
      </c>
      <c r="AY20" s="8">
        <v>2.6267568459620647</v>
      </c>
      <c r="AZ20" s="15">
        <v>6.2351777804821769</v>
      </c>
      <c r="BA20" s="7">
        <v>0.93120793664255985</v>
      </c>
      <c r="BB20" s="7">
        <v>2.2927522088061534</v>
      </c>
      <c r="BC20" s="7">
        <v>4.6710682234085081E-2</v>
      </c>
      <c r="BD20" s="8">
        <v>2.9071934170106402</v>
      </c>
    </row>
    <row r="21" spans="1:56" x14ac:dyDescent="0.25">
      <c r="A21" s="12" t="s">
        <v>16</v>
      </c>
      <c r="B21" s="7">
        <v>1.3560451289161133</v>
      </c>
      <c r="C21" s="7">
        <v>1.9776213809907073</v>
      </c>
      <c r="D21" s="7">
        <v>1.1485369784511932</v>
      </c>
      <c r="E21" s="7">
        <v>0.60525522121806863</v>
      </c>
      <c r="F21" s="8">
        <v>1.4743033920075124</v>
      </c>
      <c r="G21" s="15">
        <v>1.3643154641531663</v>
      </c>
      <c r="H21" s="7">
        <v>2.0854190288385794</v>
      </c>
      <c r="I21" s="7">
        <v>1.1492550242499884</v>
      </c>
      <c r="J21" s="7">
        <v>0.60525522121806874</v>
      </c>
      <c r="K21" s="8">
        <v>1.5124332167325349</v>
      </c>
      <c r="L21" s="15">
        <v>1.3618606923218743</v>
      </c>
      <c r="M21" s="7">
        <v>2.0635824839649812</v>
      </c>
      <c r="N21" s="7">
        <v>1.1774418463882175</v>
      </c>
      <c r="O21" s="7">
        <v>0.60525522121806874</v>
      </c>
      <c r="P21" s="8">
        <v>1.5137531065915262</v>
      </c>
      <c r="Q21" s="15">
        <v>1.2567534946266601</v>
      </c>
      <c r="R21" s="7">
        <v>1.4838245012077007</v>
      </c>
      <c r="S21" s="7">
        <v>1.1503135099434796</v>
      </c>
      <c r="T21" s="7">
        <v>0.60525522121806885</v>
      </c>
      <c r="U21" s="8">
        <v>1.2841265376838489</v>
      </c>
      <c r="V21" s="15">
        <v>1.2218029255053875</v>
      </c>
      <c r="W21" s="7">
        <v>1.7453302463699509</v>
      </c>
      <c r="X21" s="7">
        <v>1.1861827634035109</v>
      </c>
      <c r="Y21" s="7">
        <v>0.60525522121806885</v>
      </c>
      <c r="Z21" s="8">
        <v>1.4133481828534304</v>
      </c>
      <c r="AA21" s="15">
        <v>1.2192170947443053</v>
      </c>
      <c r="AB21" s="7">
        <v>1.3915931014436067</v>
      </c>
      <c r="AC21" s="7">
        <v>1.2125092912406983</v>
      </c>
      <c r="AD21" s="7">
        <v>0.60525522121806874</v>
      </c>
      <c r="AE21" s="8">
        <v>1.2656913787468975</v>
      </c>
      <c r="AF21" s="15">
        <v>1.1522839367545019</v>
      </c>
      <c r="AG21" s="7">
        <v>0.88939718377921018</v>
      </c>
      <c r="AH21" s="7">
        <v>1.4299022926111968</v>
      </c>
      <c r="AI21" s="7">
        <v>0.77019863415912115</v>
      </c>
      <c r="AJ21" s="8">
        <v>1.1651691881550539</v>
      </c>
      <c r="AK21" s="15">
        <v>1.3965629460639433</v>
      </c>
      <c r="AL21" s="7">
        <v>0.66116217562829149</v>
      </c>
      <c r="AM21" s="7">
        <v>0.99337491419433865</v>
      </c>
      <c r="AN21" s="7">
        <v>0.66417482578782439</v>
      </c>
      <c r="AO21" s="8">
        <v>0.95182796619729459</v>
      </c>
      <c r="AP21" s="15">
        <v>1.5086417774389083</v>
      </c>
      <c r="AQ21" s="7">
        <v>0.91512635453704583</v>
      </c>
      <c r="AR21" s="7">
        <v>1.0397794412632915</v>
      </c>
      <c r="AS21" s="7">
        <v>0.58133525567136635</v>
      </c>
      <c r="AT21" s="8">
        <v>1.0940691724128699</v>
      </c>
      <c r="AU21" s="15">
        <v>1.4240442877774455</v>
      </c>
      <c r="AV21" s="7">
        <v>1.1031368763468652</v>
      </c>
      <c r="AW21" s="7">
        <v>1.1973941311267575</v>
      </c>
      <c r="AX21" s="7">
        <v>0.4053121692539623</v>
      </c>
      <c r="AY21" s="8">
        <v>1.214657083624108</v>
      </c>
      <c r="AZ21" s="15">
        <v>1.3197583953966123</v>
      </c>
      <c r="BA21" s="7">
        <v>1.0949151745656911</v>
      </c>
      <c r="BB21" s="7">
        <v>1.2689961109145895</v>
      </c>
      <c r="BC21" s="7">
        <v>0.53598180827832742</v>
      </c>
      <c r="BD21" s="8">
        <v>1.2293690369052421</v>
      </c>
    </row>
    <row r="22" spans="1:56" x14ac:dyDescent="0.25">
      <c r="A22" s="12" t="s">
        <v>4</v>
      </c>
      <c r="B22" s="7">
        <v>15.690934180114466</v>
      </c>
      <c r="C22" s="7">
        <v>2.1491111455658185</v>
      </c>
      <c r="D22" s="7">
        <v>4.2738294168456417</v>
      </c>
      <c r="E22" s="7">
        <v>2.0469556827631186E-2</v>
      </c>
      <c r="F22" s="8">
        <v>4.9835525532344711</v>
      </c>
      <c r="G22" s="15">
        <v>15.691372345928933</v>
      </c>
      <c r="H22" s="7">
        <v>2.1307232437929877</v>
      </c>
      <c r="I22" s="7">
        <v>4.3860448744386593</v>
      </c>
      <c r="J22" s="7">
        <v>2.0469556827631189E-2</v>
      </c>
      <c r="K22" s="8">
        <v>5.0692386979842068</v>
      </c>
      <c r="L22" s="15">
        <v>15.712386728396478</v>
      </c>
      <c r="M22" s="7">
        <v>2.2922982542116594</v>
      </c>
      <c r="N22" s="7">
        <v>4.5180892254114546</v>
      </c>
      <c r="O22" s="7">
        <v>2.0469556827631189E-2</v>
      </c>
      <c r="P22" s="8">
        <v>5.2221763985266039</v>
      </c>
      <c r="Q22" s="15">
        <v>15.894058480529571</v>
      </c>
      <c r="R22" s="7">
        <v>1.6675504775528796</v>
      </c>
      <c r="S22" s="7">
        <v>4.6386709938579109</v>
      </c>
      <c r="T22" s="7">
        <v>2.0469556827631193E-2</v>
      </c>
      <c r="U22" s="8">
        <v>4.7673590918932369</v>
      </c>
      <c r="V22" s="15">
        <v>16.124075098170341</v>
      </c>
      <c r="W22" s="7">
        <v>1.1978504954157845</v>
      </c>
      <c r="X22" s="7">
        <v>5.1423973725373866</v>
      </c>
      <c r="Y22" s="7">
        <v>2.0469556827631193E-2</v>
      </c>
      <c r="Z22" s="8">
        <v>4.7172609939291705</v>
      </c>
      <c r="AA22" s="15">
        <v>16.101856463425502</v>
      </c>
      <c r="AB22" s="7">
        <v>1.7945541116489816</v>
      </c>
      <c r="AC22" s="7">
        <v>4.8286612067133454</v>
      </c>
      <c r="AD22" s="7">
        <v>2.0469556827631189E-2</v>
      </c>
      <c r="AE22" s="8">
        <v>5.2916654816528341</v>
      </c>
      <c r="AF22" s="15">
        <v>15.864567128940857</v>
      </c>
      <c r="AG22" s="7">
        <v>1.0414456801337399</v>
      </c>
      <c r="AH22" s="7">
        <v>5.3403076692834386</v>
      </c>
      <c r="AI22" s="7">
        <v>1.3233422157536531E-2</v>
      </c>
      <c r="AJ22" s="8">
        <v>5.3769660187724257</v>
      </c>
      <c r="AK22" s="15">
        <v>16.095845249081805</v>
      </c>
      <c r="AL22" s="7">
        <v>1.0802463314645121</v>
      </c>
      <c r="AM22" s="7">
        <v>5.1280575412882712</v>
      </c>
      <c r="AN22" s="7">
        <v>2.5815884482222225E-2</v>
      </c>
      <c r="AO22" s="8">
        <v>5.7968205881828672</v>
      </c>
      <c r="AP22" s="15">
        <v>15.298383797269754</v>
      </c>
      <c r="AQ22" s="7">
        <v>1.0707858534952086</v>
      </c>
      <c r="AR22" s="7">
        <v>4.9028127526723209</v>
      </c>
      <c r="AS22" s="7">
        <v>2.5518195051117097E-2</v>
      </c>
      <c r="AT22" s="8">
        <v>5.7164238659705466</v>
      </c>
      <c r="AU22" s="15">
        <v>15.964507503192912</v>
      </c>
      <c r="AV22" s="7">
        <v>0.92253321091715668</v>
      </c>
      <c r="AW22" s="7">
        <v>4.6182618936462712</v>
      </c>
      <c r="AX22" s="7">
        <v>1.7310725619648911E-2</v>
      </c>
      <c r="AY22" s="8">
        <v>5.8134571612506623</v>
      </c>
      <c r="AZ22" s="15">
        <v>16.119910971948336</v>
      </c>
      <c r="BA22" s="7">
        <v>0.99031336074991461</v>
      </c>
      <c r="BB22" s="7">
        <v>4.9182646400283945</v>
      </c>
      <c r="BC22" s="7">
        <v>2.2380628807848812E-2</v>
      </c>
      <c r="BD22" s="8">
        <v>6.6575280571974123</v>
      </c>
    </row>
    <row r="23" spans="1:56" x14ac:dyDescent="0.25">
      <c r="A23" s="12" t="s">
        <v>2</v>
      </c>
      <c r="B23" s="7">
        <v>1.9954984698839087</v>
      </c>
      <c r="C23" s="7">
        <v>36.088773740519301</v>
      </c>
      <c r="D23" s="7">
        <v>0.88321581182923059</v>
      </c>
      <c r="E23" s="7">
        <v>0.17388228817096654</v>
      </c>
      <c r="F23" s="8">
        <v>14.013205780070351</v>
      </c>
      <c r="G23" s="15">
        <v>1.9948447882827149</v>
      </c>
      <c r="H23" s="7">
        <v>33.901271183520677</v>
      </c>
      <c r="I23" s="7">
        <v>0.91224604991289748</v>
      </c>
      <c r="J23" s="7">
        <v>0.17388228817096657</v>
      </c>
      <c r="K23" s="8">
        <v>13.261555486203846</v>
      </c>
      <c r="L23" s="15">
        <v>1.9487602415778029</v>
      </c>
      <c r="M23" s="7">
        <v>35.183276483908102</v>
      </c>
      <c r="N23" s="7">
        <v>0.85171875685047316</v>
      </c>
      <c r="O23" s="7">
        <v>0.17388228817096657</v>
      </c>
      <c r="P23" s="8">
        <v>13.592762704717051</v>
      </c>
      <c r="Q23" s="15">
        <v>1.8904765709520408</v>
      </c>
      <c r="R23" s="7">
        <v>44.749227698358411</v>
      </c>
      <c r="S23" s="7">
        <v>0.84165898655482585</v>
      </c>
      <c r="T23" s="7">
        <v>0.1738822881709666</v>
      </c>
      <c r="U23" s="8">
        <v>18.918871218253976</v>
      </c>
      <c r="V23" s="15">
        <v>1.712712900889843</v>
      </c>
      <c r="W23" s="7">
        <v>46.588741727384615</v>
      </c>
      <c r="X23" s="7">
        <v>0.74994935701378229</v>
      </c>
      <c r="Y23" s="7">
        <v>0.1738822881709666</v>
      </c>
      <c r="Z23" s="8">
        <v>20.185989645429281</v>
      </c>
      <c r="AA23" s="15">
        <v>1.6167799176424</v>
      </c>
      <c r="AB23" s="7">
        <v>44.643825426050974</v>
      </c>
      <c r="AC23" s="7">
        <v>0.85779684818380386</v>
      </c>
      <c r="AD23" s="7">
        <v>0.1738822881709666</v>
      </c>
      <c r="AE23" s="8">
        <v>17.217610531782217</v>
      </c>
      <c r="AF23" s="15">
        <v>2.1221710584045312</v>
      </c>
      <c r="AG23" s="7">
        <v>50.747718608681993</v>
      </c>
      <c r="AH23" s="7">
        <v>1.085820163896301</v>
      </c>
      <c r="AI23" s="7">
        <v>0.16715047766328014</v>
      </c>
      <c r="AJ23" s="8">
        <v>20.615621472474583</v>
      </c>
      <c r="AK23" s="15">
        <v>1.6432201458811106</v>
      </c>
      <c r="AL23" s="7">
        <v>49.850578870922412</v>
      </c>
      <c r="AM23" s="7">
        <v>0.78519634603884481</v>
      </c>
      <c r="AN23" s="7">
        <v>0.17682132122276267</v>
      </c>
      <c r="AO23" s="8">
        <v>18.588742171214538</v>
      </c>
      <c r="AP23" s="15">
        <v>1.8216440305243955</v>
      </c>
      <c r="AQ23" s="7">
        <v>48.609308584394945</v>
      </c>
      <c r="AR23" s="7">
        <v>0.89220431842968584</v>
      </c>
      <c r="AS23" s="7">
        <v>0.20694243161162862</v>
      </c>
      <c r="AT23" s="8">
        <v>18.123275937477349</v>
      </c>
      <c r="AU23" s="15">
        <v>1.7846863460696547</v>
      </c>
      <c r="AV23" s="7">
        <v>49.910328894521058</v>
      </c>
      <c r="AW23" s="7">
        <v>0.92179005231597488</v>
      </c>
      <c r="AX23" s="7">
        <v>0.14461492218619476</v>
      </c>
      <c r="AY23" s="8">
        <v>17.707501163048097</v>
      </c>
      <c r="AZ23" s="15">
        <v>3.7634805059412697</v>
      </c>
      <c r="BA23" s="7">
        <v>45.406024462066881</v>
      </c>
      <c r="BB23" s="7">
        <v>1.4533091109616325</v>
      </c>
      <c r="BC23" s="7">
        <v>0.1738245822671956</v>
      </c>
      <c r="BD23" s="8">
        <v>14.084657374827453</v>
      </c>
    </row>
    <row r="24" spans="1:56" ht="15.75" thickBot="1" x14ac:dyDescent="0.3">
      <c r="A24" s="13" t="s">
        <v>19</v>
      </c>
      <c r="B24" s="16">
        <v>99.999999999999986</v>
      </c>
      <c r="C24" s="16">
        <v>100</v>
      </c>
      <c r="D24" s="16">
        <v>100.00000000000001</v>
      </c>
      <c r="E24" s="16">
        <v>100</v>
      </c>
      <c r="F24" s="17">
        <v>100</v>
      </c>
      <c r="G24" s="18">
        <v>99.999999999999986</v>
      </c>
      <c r="H24" s="16">
        <v>100.00000000000001</v>
      </c>
      <c r="I24" s="16">
        <v>99.999999999999972</v>
      </c>
      <c r="J24" s="16">
        <v>100</v>
      </c>
      <c r="K24" s="17">
        <v>100</v>
      </c>
      <c r="L24" s="18">
        <v>100</v>
      </c>
      <c r="M24" s="16">
        <v>100</v>
      </c>
      <c r="N24" s="16">
        <v>100.00000000000001</v>
      </c>
      <c r="O24" s="16">
        <v>100</v>
      </c>
      <c r="P24" s="17">
        <v>99.999999999999986</v>
      </c>
      <c r="Q24" s="18">
        <v>100.00000000000003</v>
      </c>
      <c r="R24" s="16">
        <v>100</v>
      </c>
      <c r="S24" s="16">
        <v>100</v>
      </c>
      <c r="T24" s="16">
        <v>100.00000000000003</v>
      </c>
      <c r="U24" s="17">
        <v>99.999999999999972</v>
      </c>
      <c r="V24" s="18">
        <v>100</v>
      </c>
      <c r="W24" s="16">
        <v>100</v>
      </c>
      <c r="X24" s="16">
        <v>99.999999999999986</v>
      </c>
      <c r="Y24" s="16">
        <v>100.00000000000003</v>
      </c>
      <c r="Z24" s="17">
        <v>100</v>
      </c>
      <c r="AA24" s="18">
        <v>100.00000000000001</v>
      </c>
      <c r="AB24" s="16">
        <v>100</v>
      </c>
      <c r="AC24" s="16">
        <v>99.999999999999972</v>
      </c>
      <c r="AD24" s="16">
        <v>100.00000000000001</v>
      </c>
      <c r="AE24" s="17">
        <v>100</v>
      </c>
      <c r="AF24" s="18">
        <v>100</v>
      </c>
      <c r="AG24" s="16">
        <v>100.00000000000001</v>
      </c>
      <c r="AH24" s="16">
        <v>99.999999999999986</v>
      </c>
      <c r="AI24" s="16">
        <v>99.999999999999957</v>
      </c>
      <c r="AJ24" s="17">
        <v>100.00000000000001</v>
      </c>
      <c r="AK24" s="18">
        <v>99.999999999999972</v>
      </c>
      <c r="AL24" s="16">
        <v>100</v>
      </c>
      <c r="AM24" s="16">
        <v>99.999999999999957</v>
      </c>
      <c r="AN24" s="16">
        <v>100.00000000000001</v>
      </c>
      <c r="AO24" s="17">
        <v>100.00000000000001</v>
      </c>
      <c r="AP24" s="18">
        <v>100</v>
      </c>
      <c r="AQ24" s="16">
        <v>100</v>
      </c>
      <c r="AR24" s="16">
        <v>100</v>
      </c>
      <c r="AS24" s="16">
        <v>99.999999999999986</v>
      </c>
      <c r="AT24" s="17">
        <v>100.00000000000001</v>
      </c>
      <c r="AU24" s="18">
        <v>100.00000000000001</v>
      </c>
      <c r="AV24" s="16">
        <v>100</v>
      </c>
      <c r="AW24" s="16">
        <v>99.999999999999972</v>
      </c>
      <c r="AX24" s="16">
        <v>100</v>
      </c>
      <c r="AY24" s="17">
        <v>100</v>
      </c>
      <c r="AZ24" s="18">
        <v>99.999999999999986</v>
      </c>
      <c r="BA24" s="16">
        <v>99.999999999999986</v>
      </c>
      <c r="BB24" s="16">
        <v>100</v>
      </c>
      <c r="BC24" s="16">
        <v>99.999999999999986</v>
      </c>
      <c r="BD24" s="17">
        <v>100.00000000000001</v>
      </c>
    </row>
  </sheetData>
  <mergeCells count="12">
    <mergeCell ref="AP4:AT4"/>
    <mergeCell ref="AU4:AY4"/>
    <mergeCell ref="AZ4:BD4"/>
    <mergeCell ref="B4:F4"/>
    <mergeCell ref="A4:A5"/>
    <mergeCell ref="Q4:U4"/>
    <mergeCell ref="V4:Z4"/>
    <mergeCell ref="AA4:AE4"/>
    <mergeCell ref="AF4:AJ4"/>
    <mergeCell ref="AK4:AO4"/>
    <mergeCell ref="G4:K4"/>
    <mergeCell ref="L4:P4"/>
  </mergeCells>
  <pageMargins left="0.7" right="0.7" top="0.75" bottom="0.75" header="0.3" footer="0.3"/>
  <pageSetup paperSize="9" scale="6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155C4-C647-4B5C-BDEB-ECD09DAED198}">
  <sheetPr>
    <tabColor theme="8" tint="0.39997558519241921"/>
  </sheetPr>
  <dimension ref="A1:K22"/>
  <sheetViews>
    <sheetView showGridLines="0" zoomScale="130" zoomScaleNormal="130" zoomScaleSheetLayoutView="85" workbookViewId="0">
      <selection activeCell="C23" sqref="C23"/>
    </sheetView>
  </sheetViews>
  <sheetFormatPr defaultRowHeight="15" x14ac:dyDescent="0.25"/>
  <cols>
    <col min="1" max="1" width="13.140625" bestFit="1" customWidth="1"/>
    <col min="2" max="10" width="12.28515625" customWidth="1"/>
    <col min="11" max="11" width="4.5703125" bestFit="1" customWidth="1"/>
  </cols>
  <sheetData>
    <row r="1" spans="1:11" ht="15.75" thickBot="1" x14ac:dyDescent="0.3"/>
    <row r="2" spans="1:11" ht="15.75" thickBot="1" x14ac:dyDescent="0.3">
      <c r="A2" s="144" t="s">
        <v>28</v>
      </c>
      <c r="B2" s="145"/>
      <c r="C2" s="145"/>
      <c r="D2" s="145"/>
      <c r="E2" s="145"/>
      <c r="F2" s="145"/>
      <c r="G2" s="145"/>
      <c r="H2" s="145"/>
      <c r="I2" s="145"/>
      <c r="J2" s="145"/>
      <c r="K2" s="146"/>
    </row>
    <row r="3" spans="1:11" ht="15.75" thickBot="1" x14ac:dyDescent="0.3">
      <c r="A3" s="34" t="s">
        <v>0</v>
      </c>
      <c r="B3" s="35">
        <v>2016</v>
      </c>
      <c r="C3" s="35">
        <v>2017</v>
      </c>
      <c r="D3" s="35">
        <v>2018</v>
      </c>
      <c r="E3" s="35">
        <v>2019</v>
      </c>
      <c r="F3" s="35">
        <v>2020</v>
      </c>
      <c r="G3" s="35">
        <v>2021</v>
      </c>
      <c r="H3" s="35">
        <v>2022</v>
      </c>
      <c r="I3" s="35">
        <v>2023</v>
      </c>
      <c r="J3" s="35">
        <v>2024</v>
      </c>
      <c r="K3" s="36">
        <v>2025</v>
      </c>
    </row>
    <row r="4" spans="1:11" x14ac:dyDescent="0.25">
      <c r="A4" s="32" t="s">
        <v>15</v>
      </c>
      <c r="B4" s="28">
        <v>-2.2683537581508801</v>
      </c>
      <c r="C4" s="28">
        <v>4.846472178914766</v>
      </c>
      <c r="D4" s="28">
        <v>-1.4307457640995125</v>
      </c>
      <c r="E4" s="28">
        <v>-7.1690566799680937</v>
      </c>
      <c r="F4" s="28">
        <v>12.186730007541485</v>
      </c>
      <c r="G4" s="28">
        <v>8.9531954580124307E-2</v>
      </c>
      <c r="H4" s="28">
        <v>-0.58908086941804072</v>
      </c>
      <c r="I4" s="28">
        <v>14.05671801795647</v>
      </c>
      <c r="J4" s="28">
        <v>6.509908553595352</v>
      </c>
      <c r="K4" s="29">
        <v>3.1828773544109197</v>
      </c>
    </row>
    <row r="5" spans="1:11" x14ac:dyDescent="0.25">
      <c r="A5" s="32" t="s">
        <v>3</v>
      </c>
      <c r="B5" s="28">
        <v>4.9620448966832811</v>
      </c>
      <c r="C5" s="28">
        <v>-2.4060735185237263</v>
      </c>
      <c r="D5" s="28">
        <v>-5.2292645934956852</v>
      </c>
      <c r="E5" s="28">
        <v>6.81935978971309</v>
      </c>
      <c r="F5" s="28">
        <v>-4.3659478981797406</v>
      </c>
      <c r="G5" s="28">
        <v>3.552561913987347</v>
      </c>
      <c r="H5" s="28">
        <v>15.908346416517929</v>
      </c>
      <c r="I5" s="28">
        <v>-1.0945294091362854</v>
      </c>
      <c r="J5" s="28">
        <v>33.138034107568672</v>
      </c>
      <c r="K5" s="29">
        <v>4.0063378150914133</v>
      </c>
    </row>
    <row r="6" spans="1:11" x14ac:dyDescent="0.25">
      <c r="A6" s="32" t="s">
        <v>11</v>
      </c>
      <c r="B6" s="28">
        <v>1.6474210729175525</v>
      </c>
      <c r="C6" s="28">
        <v>-3.0243305139138528</v>
      </c>
      <c r="D6" s="28">
        <v>1.2024875243439084</v>
      </c>
      <c r="E6" s="28">
        <v>13.061369687076137</v>
      </c>
      <c r="F6" s="28">
        <v>-17.078022532517252</v>
      </c>
      <c r="G6" s="28">
        <v>17.15200954873022</v>
      </c>
      <c r="H6" s="28">
        <v>0.97627869871797657</v>
      </c>
      <c r="I6" s="28">
        <v>1.7312520583720641</v>
      </c>
      <c r="J6" s="28">
        <v>8.7334468778138756</v>
      </c>
      <c r="K6" s="29">
        <v>0.61942809882651773</v>
      </c>
    </row>
    <row r="7" spans="1:11" x14ac:dyDescent="0.25">
      <c r="A7" s="32" t="s">
        <v>5</v>
      </c>
      <c r="B7" s="28">
        <v>-1.8497365821826435</v>
      </c>
      <c r="C7" s="28">
        <v>-4.2779161657899465</v>
      </c>
      <c r="D7" s="28">
        <v>-6.5306452360698017</v>
      </c>
      <c r="E7" s="28">
        <v>-7.5699976842698362</v>
      </c>
      <c r="F7" s="28">
        <v>-0.96024402168659151</v>
      </c>
      <c r="G7" s="28">
        <v>-17.155268485348017</v>
      </c>
      <c r="H7" s="28">
        <v>-1.9429752632650121</v>
      </c>
      <c r="I7" s="28">
        <v>-5.6679610554785143</v>
      </c>
      <c r="J7" s="28">
        <v>-1.0978789557493513</v>
      </c>
      <c r="K7" s="29">
        <v>-4.7801126608390518</v>
      </c>
    </row>
    <row r="8" spans="1:11" x14ac:dyDescent="0.25">
      <c r="A8" s="32" t="s">
        <v>18</v>
      </c>
      <c r="B8" s="28">
        <v>-1.5156004709049569</v>
      </c>
      <c r="C8" s="28">
        <v>4.1980968082647934</v>
      </c>
      <c r="D8" s="28">
        <v>-1.1563802280468849</v>
      </c>
      <c r="E8" s="28">
        <v>9.9700694693172949</v>
      </c>
      <c r="F8" s="28">
        <v>-22.855150006822399</v>
      </c>
      <c r="G8" s="28">
        <v>20.696452546852797</v>
      </c>
      <c r="H8" s="28">
        <v>-0.85614818901082401</v>
      </c>
      <c r="I8" s="28">
        <v>2.8697669136538622</v>
      </c>
      <c r="J8" s="28">
        <v>-12.824407772525305</v>
      </c>
      <c r="K8" s="29">
        <v>0.61940509312709935</v>
      </c>
    </row>
    <row r="9" spans="1:11" x14ac:dyDescent="0.25">
      <c r="A9" s="32" t="s">
        <v>13</v>
      </c>
      <c r="B9" s="28">
        <v>0.79142660287328681</v>
      </c>
      <c r="C9" s="28">
        <v>1.0606180689529054</v>
      </c>
      <c r="D9" s="28">
        <v>-1.6344561860602624</v>
      </c>
      <c r="E9" s="28">
        <v>2.376379112577041</v>
      </c>
      <c r="F9" s="28">
        <v>-6.8841619131927416</v>
      </c>
      <c r="G9" s="28">
        <v>10.643558100177387</v>
      </c>
      <c r="H9" s="28">
        <v>-2.9100149217224782</v>
      </c>
      <c r="I9" s="28">
        <v>11.638973186164222</v>
      </c>
      <c r="J9" s="28">
        <v>-3.1392706034002771</v>
      </c>
      <c r="K9" s="29">
        <v>4.6579291994335961</v>
      </c>
    </row>
    <row r="10" spans="1:11" x14ac:dyDescent="0.25">
      <c r="A10" s="32" t="s">
        <v>6</v>
      </c>
      <c r="B10" s="28">
        <v>1.6599602282372246</v>
      </c>
      <c r="C10" s="28">
        <v>3.6176482116628392</v>
      </c>
      <c r="D10" s="28">
        <v>-2.9624067434325383</v>
      </c>
      <c r="E10" s="28">
        <v>0.54357994973311463</v>
      </c>
      <c r="F10" s="28">
        <v>16.256324460229351</v>
      </c>
      <c r="G10" s="28">
        <v>0.57169202803105179</v>
      </c>
      <c r="H10" s="28">
        <v>-13.525248522287583</v>
      </c>
      <c r="I10" s="28">
        <v>-2.4457229863356957</v>
      </c>
      <c r="J10" s="28">
        <v>4.7690498041480964</v>
      </c>
      <c r="K10" s="29">
        <v>2.2972227553008935</v>
      </c>
    </row>
    <row r="11" spans="1:11" x14ac:dyDescent="0.25">
      <c r="A11" s="32" t="s">
        <v>17</v>
      </c>
      <c r="B11" s="28">
        <v>5.7665221972541758E-2</v>
      </c>
      <c r="C11" s="28">
        <v>0.2819350287936544</v>
      </c>
      <c r="D11" s="28">
        <v>4.8977874058954995</v>
      </c>
      <c r="E11" s="28">
        <v>6.1344600503161928</v>
      </c>
      <c r="F11" s="28">
        <v>-20.552078877344528</v>
      </c>
      <c r="G11" s="28">
        <v>13.83864539722947</v>
      </c>
      <c r="H11" s="28">
        <v>-3.3365132573366765</v>
      </c>
      <c r="I11" s="28">
        <v>14.189488063916727</v>
      </c>
      <c r="J11" s="28">
        <v>-5.093077816995347</v>
      </c>
      <c r="K11" s="29">
        <v>9.096407981927058</v>
      </c>
    </row>
    <row r="12" spans="1:11" x14ac:dyDescent="0.25">
      <c r="A12" s="32" t="s">
        <v>8</v>
      </c>
      <c r="B12" s="28">
        <v>12.533027278105394</v>
      </c>
      <c r="C12" s="28">
        <v>-12.933235983698538</v>
      </c>
      <c r="D12" s="28">
        <v>-0.51604045102882878</v>
      </c>
      <c r="E12" s="28">
        <v>7.2039472262338506</v>
      </c>
      <c r="F12" s="28">
        <v>-3.6638426908455415</v>
      </c>
      <c r="G12" s="28">
        <v>2.647033289328931</v>
      </c>
      <c r="H12" s="28">
        <v>2.8156967010076954</v>
      </c>
      <c r="I12" s="28">
        <v>12.529587965617296</v>
      </c>
      <c r="J12" s="28">
        <v>-4.8861838218777223</v>
      </c>
      <c r="K12" s="29">
        <v>3.0178639240916283</v>
      </c>
    </row>
    <row r="13" spans="1:11" x14ac:dyDescent="0.25">
      <c r="A13" s="32" t="s">
        <v>9</v>
      </c>
      <c r="B13" s="28">
        <v>0.60601901577612693</v>
      </c>
      <c r="C13" s="28">
        <v>1.6763495640201</v>
      </c>
      <c r="D13" s="28">
        <v>-1.1855652366911329</v>
      </c>
      <c r="E13" s="28">
        <v>8.1635780183785727</v>
      </c>
      <c r="F13" s="28">
        <v>-7.7300878135355759</v>
      </c>
      <c r="G13" s="28">
        <v>-1.021593540452912</v>
      </c>
      <c r="H13" s="28">
        <v>12.981119238696152</v>
      </c>
      <c r="I13" s="28">
        <v>6.8734193743928245</v>
      </c>
      <c r="J13" s="28">
        <v>2.5707602921929436</v>
      </c>
      <c r="K13" s="29">
        <v>0.58572452335565117</v>
      </c>
    </row>
    <row r="14" spans="1:11" x14ac:dyDescent="0.25">
      <c r="A14" s="32" t="s">
        <v>1</v>
      </c>
      <c r="B14" s="28">
        <v>-1.492882298181911</v>
      </c>
      <c r="C14" s="28">
        <v>3.5851262047029024</v>
      </c>
      <c r="D14" s="28">
        <v>4.2161526983936</v>
      </c>
      <c r="E14" s="28">
        <v>-3.8794985415626115</v>
      </c>
      <c r="F14" s="28">
        <v>-7.6831475025241929</v>
      </c>
      <c r="G14" s="28">
        <v>3.2018820493306777</v>
      </c>
      <c r="H14" s="28">
        <v>7.267923715440034</v>
      </c>
      <c r="I14" s="28">
        <v>0.69788719048079884</v>
      </c>
      <c r="J14" s="28">
        <v>3.6836985041168049</v>
      </c>
      <c r="K14" s="29">
        <v>4.3537729882563951</v>
      </c>
    </row>
    <row r="15" spans="1:11" x14ac:dyDescent="0.25">
      <c r="A15" s="32" t="s">
        <v>14</v>
      </c>
      <c r="B15" s="28">
        <v>1.9915837804939827</v>
      </c>
      <c r="C15" s="28">
        <v>-2.3466686064364097</v>
      </c>
      <c r="D15" s="28">
        <v>2.9373263068689539</v>
      </c>
      <c r="E15" s="28">
        <v>-4.1548106871992445</v>
      </c>
      <c r="F15" s="28">
        <v>-4.2883749558579467</v>
      </c>
      <c r="G15" s="28">
        <v>12.990791440895876</v>
      </c>
      <c r="H15" s="28">
        <v>-2.1702500741427713</v>
      </c>
      <c r="I15" s="28">
        <v>-1.2348339859541824</v>
      </c>
      <c r="J15" s="28">
        <v>-0.79491745192856911</v>
      </c>
      <c r="K15" s="29">
        <v>9.6584396247826305</v>
      </c>
    </row>
    <row r="16" spans="1:11" x14ac:dyDescent="0.25">
      <c r="A16" s="32" t="s">
        <v>10</v>
      </c>
      <c r="B16" s="28">
        <v>-1.8243260942436592</v>
      </c>
      <c r="C16" s="28">
        <v>2.6087091094528176</v>
      </c>
      <c r="D16" s="28">
        <v>-2.9801754867173003</v>
      </c>
      <c r="E16" s="28">
        <v>12.285067874693652</v>
      </c>
      <c r="F16" s="28">
        <v>-7.030531269212176</v>
      </c>
      <c r="G16" s="28">
        <v>4.0562931485703899</v>
      </c>
      <c r="H16" s="28">
        <v>-8.5767474915567732</v>
      </c>
      <c r="I16" s="28">
        <v>14.869773412061903</v>
      </c>
      <c r="J16" s="28">
        <v>-6.2043218657555599</v>
      </c>
      <c r="K16" s="29">
        <v>9.1499474361650641</v>
      </c>
    </row>
    <row r="17" spans="1:11" x14ac:dyDescent="0.25">
      <c r="A17" s="32" t="s">
        <v>22</v>
      </c>
      <c r="B17" s="28">
        <v>-1.6726719444689024</v>
      </c>
      <c r="C17" s="28">
        <v>3.4182400528550261E-2</v>
      </c>
      <c r="D17" s="28">
        <v>1.1011884356450992</v>
      </c>
      <c r="E17" s="28">
        <v>0.91326960025908477</v>
      </c>
      <c r="F17" s="28">
        <v>0.79499963682879127</v>
      </c>
      <c r="G17" s="28">
        <v>11.539966377946314</v>
      </c>
      <c r="H17" s="28">
        <v>-10.850431962858821</v>
      </c>
      <c r="I17" s="28">
        <v>14.471641082508356</v>
      </c>
      <c r="J17" s="28">
        <v>1.826370509662496</v>
      </c>
      <c r="K17" s="29">
        <v>5.9091393278838353</v>
      </c>
    </row>
    <row r="18" spans="1:11" x14ac:dyDescent="0.25">
      <c r="A18" s="32" t="s">
        <v>12</v>
      </c>
      <c r="B18" s="28">
        <v>-1.5301779296360962</v>
      </c>
      <c r="C18" s="28">
        <v>-0.23927795601747448</v>
      </c>
      <c r="D18" s="28">
        <v>5.1938722938099602</v>
      </c>
      <c r="E18" s="28">
        <v>-0.2386843835929966</v>
      </c>
      <c r="F18" s="28">
        <v>-7.2632081110476463</v>
      </c>
      <c r="G18" s="28">
        <v>18.245728687716081</v>
      </c>
      <c r="H18" s="28">
        <v>3.5210514083542108</v>
      </c>
      <c r="I18" s="28">
        <v>-4.8887417720534501</v>
      </c>
      <c r="J18" s="28">
        <v>2.746381239540014</v>
      </c>
      <c r="K18" s="29">
        <v>4.945382270264929</v>
      </c>
    </row>
    <row r="19" spans="1:11" x14ac:dyDescent="0.25">
      <c r="A19" s="32" t="s">
        <v>16</v>
      </c>
      <c r="B19" s="28">
        <v>2.7750232585936061</v>
      </c>
      <c r="C19" s="28">
        <v>4.4021641655356234</v>
      </c>
      <c r="D19" s="28">
        <v>-2.5262253902689054</v>
      </c>
      <c r="E19" s="28">
        <v>12.730186716923299</v>
      </c>
      <c r="F19" s="28">
        <v>-15.519898921575574</v>
      </c>
      <c r="G19" s="28">
        <v>3.3666192721658206</v>
      </c>
      <c r="H19" s="28">
        <v>-18.119794735164646</v>
      </c>
      <c r="I19" s="28">
        <v>18.884011350314182</v>
      </c>
      <c r="J19" s="28">
        <v>18.270230983513287</v>
      </c>
      <c r="K19" s="29">
        <v>2.6226746308512219</v>
      </c>
    </row>
    <row r="20" spans="1:11" x14ac:dyDescent="0.25">
      <c r="A20" s="32" t="s">
        <v>4</v>
      </c>
      <c r="B20" s="28">
        <v>-1.8158026891173051</v>
      </c>
      <c r="C20" s="28">
        <v>1.7440711958767565</v>
      </c>
      <c r="D20" s="28">
        <v>0.37379994624518531</v>
      </c>
      <c r="E20" s="28">
        <v>3.3147637131497873</v>
      </c>
      <c r="F20" s="28">
        <v>0.36032467107764887</v>
      </c>
      <c r="G20" s="28">
        <v>6.2518826014626256</v>
      </c>
      <c r="H20" s="28">
        <v>2.4651502015622668</v>
      </c>
      <c r="I20" s="28">
        <v>-1.8302054000441217</v>
      </c>
      <c r="J20" s="28">
        <v>4.2434677873550868</v>
      </c>
      <c r="K20" s="29">
        <v>6.2803174119076459</v>
      </c>
    </row>
    <row r="21" spans="1:11" ht="15.75" thickBot="1" x14ac:dyDescent="0.3">
      <c r="A21" s="32" t="s">
        <v>2</v>
      </c>
      <c r="B21" s="28">
        <v>-1.7353957317935169</v>
      </c>
      <c r="C21" s="28">
        <v>-7.3358912156981262</v>
      </c>
      <c r="D21" s="28">
        <v>-9.2754146343225159</v>
      </c>
      <c r="E21" s="28">
        <v>-4.7892816651678913</v>
      </c>
      <c r="F21" s="28">
        <v>-6.6429888426169867</v>
      </c>
      <c r="G21" s="28">
        <v>-9.3427678148852067</v>
      </c>
      <c r="H21" s="28">
        <v>8.3300697191907318</v>
      </c>
      <c r="I21" s="28">
        <v>-3.0998965077658056</v>
      </c>
      <c r="J21" s="28">
        <v>6.8020998642966219</v>
      </c>
      <c r="K21" s="29">
        <v>-0.18846023487003549</v>
      </c>
    </row>
    <row r="22" spans="1:11" ht="15.75" thickBot="1" x14ac:dyDescent="0.3">
      <c r="A22" s="33" t="s">
        <v>19</v>
      </c>
      <c r="B22" s="30">
        <v>-0.23307695225923908</v>
      </c>
      <c r="C22" s="30">
        <v>-0.16468865698062984</v>
      </c>
      <c r="D22" s="30">
        <v>-0.50669754363033803</v>
      </c>
      <c r="E22" s="30">
        <v>-1.0552341451377885</v>
      </c>
      <c r="F22" s="30">
        <v>-5.2734912835850309</v>
      </c>
      <c r="G22" s="30">
        <v>1.0905836984561859</v>
      </c>
      <c r="H22" s="30">
        <v>3.5574920750625125</v>
      </c>
      <c r="I22" s="30">
        <v>1.3201658708103849</v>
      </c>
      <c r="J22" s="30">
        <v>4.9526786044553148</v>
      </c>
      <c r="K22" s="31">
        <v>3.1335354244999678</v>
      </c>
    </row>
  </sheetData>
  <mergeCells count="1">
    <mergeCell ref="A2:K2"/>
  </mergeCells>
  <pageMargins left="0.7" right="0.7" top="0.75" bottom="0.75" header="0.3" footer="0.3"/>
  <pageSetup paperSize="9" scale="61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A06B-CC46-4123-925C-D3D7635F6550}">
  <dimension ref="A3:F23"/>
  <sheetViews>
    <sheetView topLeftCell="C1" workbookViewId="0">
      <selection activeCell="F9" sqref="F9"/>
    </sheetView>
  </sheetViews>
  <sheetFormatPr defaultRowHeight="15" x14ac:dyDescent="0.25"/>
  <cols>
    <col min="1" max="1" width="18" bestFit="1" customWidth="1"/>
    <col min="2" max="2" width="19.5703125" bestFit="1" customWidth="1"/>
    <col min="3" max="3" width="30.28515625" bestFit="1" customWidth="1"/>
    <col min="4" max="4" width="33.28515625" bestFit="1" customWidth="1"/>
    <col min="5" max="5" width="22" bestFit="1" customWidth="1"/>
    <col min="6" max="6" width="10.7109375" bestFit="1" customWidth="1"/>
    <col min="7" max="7" width="30.28515625" bestFit="1" customWidth="1"/>
    <col min="8" max="8" width="33.28515625" bestFit="1" customWidth="1"/>
    <col min="9" max="9" width="22" bestFit="1" customWidth="1"/>
    <col min="10" max="10" width="43.28515625" bestFit="1" customWidth="1"/>
    <col min="11" max="11" width="40.7109375" bestFit="1" customWidth="1"/>
  </cols>
  <sheetData>
    <row r="3" spans="1:6" x14ac:dyDescent="0.25">
      <c r="B3" s="78" t="s">
        <v>115</v>
      </c>
    </row>
    <row r="4" spans="1:6" x14ac:dyDescent="0.25">
      <c r="A4" s="78" t="s">
        <v>114</v>
      </c>
      <c r="B4" t="s">
        <v>87</v>
      </c>
      <c r="C4" t="s">
        <v>86</v>
      </c>
      <c r="D4" t="s">
        <v>85</v>
      </c>
      <c r="E4" t="s">
        <v>84</v>
      </c>
      <c r="F4" t="s">
        <v>54</v>
      </c>
    </row>
    <row r="5" spans="1:6" x14ac:dyDescent="0.25">
      <c r="A5" s="79" t="s">
        <v>15</v>
      </c>
    </row>
    <row r="6" spans="1:6" x14ac:dyDescent="0.25">
      <c r="A6" s="79" t="s">
        <v>3</v>
      </c>
    </row>
    <row r="7" spans="1:6" x14ac:dyDescent="0.25">
      <c r="A7" s="79" t="s">
        <v>11</v>
      </c>
    </row>
    <row r="8" spans="1:6" x14ac:dyDescent="0.25">
      <c r="A8" s="79" t="s">
        <v>5</v>
      </c>
    </row>
    <row r="9" spans="1:6" x14ac:dyDescent="0.25">
      <c r="A9" s="79" t="s">
        <v>18</v>
      </c>
    </row>
    <row r="10" spans="1:6" x14ac:dyDescent="0.25">
      <c r="A10" s="79" t="s">
        <v>13</v>
      </c>
    </row>
    <row r="11" spans="1:6" x14ac:dyDescent="0.25">
      <c r="A11" s="79" t="s">
        <v>6</v>
      </c>
    </row>
    <row r="12" spans="1:6" x14ac:dyDescent="0.25">
      <c r="A12" s="79" t="s">
        <v>17</v>
      </c>
    </row>
    <row r="13" spans="1:6" x14ac:dyDescent="0.25">
      <c r="A13" s="79" t="s">
        <v>8</v>
      </c>
    </row>
    <row r="14" spans="1:6" x14ac:dyDescent="0.25">
      <c r="A14" s="79" t="s">
        <v>9</v>
      </c>
    </row>
    <row r="15" spans="1:6" x14ac:dyDescent="0.25">
      <c r="A15" s="79" t="s">
        <v>1</v>
      </c>
    </row>
    <row r="16" spans="1:6" x14ac:dyDescent="0.25">
      <c r="A16" s="79" t="s">
        <v>14</v>
      </c>
    </row>
    <row r="17" spans="1:1" x14ac:dyDescent="0.25">
      <c r="A17" s="79" t="s">
        <v>10</v>
      </c>
    </row>
    <row r="18" spans="1:1" x14ac:dyDescent="0.25">
      <c r="A18" s="79" t="s">
        <v>7</v>
      </c>
    </row>
    <row r="19" spans="1:1" x14ac:dyDescent="0.25">
      <c r="A19" s="79" t="s">
        <v>12</v>
      </c>
    </row>
    <row r="20" spans="1:1" x14ac:dyDescent="0.25">
      <c r="A20" s="79" t="s">
        <v>16</v>
      </c>
    </row>
    <row r="21" spans="1:1" x14ac:dyDescent="0.25">
      <c r="A21" s="79" t="s">
        <v>4</v>
      </c>
    </row>
    <row r="22" spans="1:1" x14ac:dyDescent="0.25">
      <c r="A22" s="79" t="s">
        <v>2</v>
      </c>
    </row>
    <row r="23" spans="1:1" x14ac:dyDescent="0.25">
      <c r="A23" s="79" t="s">
        <v>54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0C00C-E295-436B-B110-5296BAACD0C2}">
  <sheetPr>
    <tabColor rgb="FFFFCB00"/>
  </sheetPr>
  <dimension ref="A2:AX112"/>
  <sheetViews>
    <sheetView topLeftCell="A52" zoomScale="106" zoomScaleNormal="106" workbookViewId="0">
      <selection activeCell="AJ1" sqref="A1:XFD1048576"/>
    </sheetView>
  </sheetViews>
  <sheetFormatPr defaultRowHeight="15" x14ac:dyDescent="0.25"/>
  <cols>
    <col min="1" max="1" width="3.85546875" style="80" customWidth="1"/>
    <col min="2" max="2" width="16" bestFit="1" customWidth="1"/>
    <col min="3" max="3" width="20" customWidth="1"/>
    <col min="4" max="4" width="23.28515625" customWidth="1"/>
    <col min="5" max="5" width="24.5703125" customWidth="1"/>
    <col min="6" max="6" width="6.7109375" customWidth="1"/>
    <col min="7" max="7" width="16.5703125" customWidth="1"/>
    <col min="8" max="8" width="18.7109375" customWidth="1"/>
    <col min="9" max="9" width="32.85546875" customWidth="1"/>
    <col min="10" max="10" width="5.42578125" customWidth="1"/>
    <col min="11" max="11" width="11.42578125" customWidth="1"/>
    <col min="12" max="12" width="19.7109375" customWidth="1"/>
    <col min="13" max="13" width="42.140625" customWidth="1"/>
    <col min="14" max="14" width="6.140625" customWidth="1"/>
    <col min="15" max="15" width="14.42578125" customWidth="1"/>
    <col min="16" max="16" width="19.7109375" customWidth="1"/>
    <col min="17" max="17" width="39.85546875" customWidth="1"/>
    <col min="19" max="19" width="9.7109375" bestFit="1" customWidth="1"/>
    <col min="20" max="20" width="19.85546875" customWidth="1"/>
    <col min="21" max="21" width="17.28515625" customWidth="1"/>
    <col min="22" max="22" width="14.140625" customWidth="1"/>
    <col min="23" max="23" width="13.5703125" bestFit="1" customWidth="1"/>
    <col min="24" max="24" width="30.7109375" bestFit="1" customWidth="1"/>
    <col min="25" max="25" width="28.140625" customWidth="1"/>
    <col min="26" max="26" width="12.140625" customWidth="1"/>
    <col min="27" max="27" width="9.7109375" customWidth="1"/>
    <col min="28" max="28" width="23.85546875" customWidth="1"/>
    <col min="29" max="29" width="51.7109375" customWidth="1"/>
    <col min="30" max="30" width="12.140625" customWidth="1"/>
    <col min="31" max="31" width="33.5703125" bestFit="1" customWidth="1"/>
    <col min="32" max="32" width="33.28515625" bestFit="1" customWidth="1"/>
    <col min="33" max="33" width="29" bestFit="1" customWidth="1"/>
    <col min="34" max="34" width="40.28515625" customWidth="1"/>
    <col min="35" max="35" width="6.85546875" customWidth="1"/>
    <col min="36" max="36" width="18.140625" customWidth="1"/>
    <col min="37" max="37" width="12.85546875" bestFit="1" customWidth="1"/>
    <col min="38" max="38" width="19.140625" customWidth="1"/>
    <col min="39" max="39" width="3.5703125" customWidth="1"/>
    <col min="40" max="40" width="17.5703125" bestFit="1" customWidth="1"/>
    <col min="41" max="41" width="10.85546875" customWidth="1"/>
    <col min="42" max="42" width="11.85546875" customWidth="1"/>
    <col min="43" max="43" width="16.85546875" customWidth="1"/>
    <col min="44" max="44" width="13.5703125" customWidth="1"/>
    <col min="47" max="47" width="13.5703125" bestFit="1" customWidth="1"/>
    <col min="48" max="48" width="14.42578125" bestFit="1" customWidth="1"/>
    <col min="49" max="49" width="13.5703125" bestFit="1" customWidth="1"/>
    <col min="50" max="50" width="14.42578125" bestFit="1" customWidth="1"/>
  </cols>
  <sheetData>
    <row r="2" spans="2:50" ht="15.75" thickBot="1" x14ac:dyDescent="0.3"/>
    <row r="3" spans="2:50" ht="16.5" thickBot="1" x14ac:dyDescent="0.35">
      <c r="B3" s="105" t="s">
        <v>89</v>
      </c>
      <c r="C3" s="106"/>
      <c r="D3" s="106"/>
      <c r="E3" s="107"/>
      <c r="G3" s="105" t="s">
        <v>90</v>
      </c>
      <c r="H3" s="106"/>
      <c r="I3" s="107"/>
      <c r="K3" s="105" t="s">
        <v>91</v>
      </c>
      <c r="L3" s="106"/>
      <c r="M3" s="107"/>
      <c r="O3" s="105" t="s">
        <v>92</v>
      </c>
      <c r="P3" s="106"/>
      <c r="Q3" s="107"/>
      <c r="S3" s="98" t="s">
        <v>93</v>
      </c>
      <c r="T3" s="99"/>
      <c r="U3" s="99"/>
      <c r="V3" s="99"/>
      <c r="W3" s="99"/>
      <c r="X3" s="99"/>
      <c r="Y3" s="100"/>
      <c r="Z3" s="88"/>
      <c r="AA3" s="105" t="s">
        <v>94</v>
      </c>
      <c r="AB3" s="106"/>
      <c r="AC3" s="107"/>
      <c r="AD3" s="88"/>
      <c r="AN3" s="116" t="s">
        <v>108</v>
      </c>
      <c r="AO3" s="117"/>
      <c r="AP3" s="117"/>
      <c r="AQ3" s="117"/>
      <c r="AR3" s="117"/>
      <c r="AS3" s="118"/>
    </row>
    <row r="4" spans="2:50" ht="15.75" thickBot="1" x14ac:dyDescent="0.3">
      <c r="B4" s="90" t="s">
        <v>75</v>
      </c>
      <c r="C4" s="74" t="s">
        <v>80</v>
      </c>
      <c r="D4" s="74" t="s">
        <v>0</v>
      </c>
      <c r="E4" s="104" t="s">
        <v>76</v>
      </c>
      <c r="G4" s="90" t="s">
        <v>75</v>
      </c>
      <c r="H4" s="74" t="s">
        <v>0</v>
      </c>
      <c r="I4" s="104" t="s">
        <v>77</v>
      </c>
      <c r="K4" s="90" t="s">
        <v>75</v>
      </c>
      <c r="L4" s="74" t="s">
        <v>0</v>
      </c>
      <c r="M4" s="104" t="s">
        <v>81</v>
      </c>
      <c r="O4" s="90" t="s">
        <v>75</v>
      </c>
      <c r="P4" s="74" t="s">
        <v>0</v>
      </c>
      <c r="Q4" s="104" t="s">
        <v>78</v>
      </c>
      <c r="S4" s="90" t="s">
        <v>75</v>
      </c>
      <c r="T4" s="103" t="s">
        <v>0</v>
      </c>
      <c r="U4" s="91" t="s">
        <v>23</v>
      </c>
      <c r="V4" s="91" t="s">
        <v>24</v>
      </c>
      <c r="W4" s="91" t="s">
        <v>25</v>
      </c>
      <c r="X4" s="91" t="s">
        <v>26</v>
      </c>
      <c r="Y4" s="92" t="s">
        <v>27</v>
      </c>
      <c r="AA4" s="90" t="s">
        <v>75</v>
      </c>
      <c r="AB4" s="74" t="s">
        <v>0</v>
      </c>
      <c r="AC4" s="104" t="s">
        <v>79</v>
      </c>
      <c r="AE4" t="s">
        <v>82</v>
      </c>
      <c r="AF4" s="2">
        <f>AVERAGE(Tabela25[Média do preço (%)])</f>
        <v>23.978924359821658</v>
      </c>
      <c r="AN4" s="119">
        <v>2020</v>
      </c>
      <c r="AO4" s="119">
        <v>2021</v>
      </c>
      <c r="AP4" s="119">
        <v>2022</v>
      </c>
      <c r="AQ4" s="119">
        <v>2023</v>
      </c>
      <c r="AR4" s="119">
        <v>2024</v>
      </c>
      <c r="AS4" s="118">
        <v>2025</v>
      </c>
    </row>
    <row r="5" spans="2:50" ht="15.75" thickBot="1" x14ac:dyDescent="0.3">
      <c r="B5" s="90">
        <v>2020</v>
      </c>
      <c r="C5" s="74" t="s">
        <v>56</v>
      </c>
      <c r="D5" s="74" t="s">
        <v>1</v>
      </c>
      <c r="E5" s="94">
        <v>12494.60441283916</v>
      </c>
      <c r="G5" s="90">
        <v>2020</v>
      </c>
      <c r="H5" s="74" t="s">
        <v>15</v>
      </c>
      <c r="I5" s="94">
        <v>607.22027228840011</v>
      </c>
      <c r="K5" s="108">
        <v>2020</v>
      </c>
      <c r="L5" s="74" t="s">
        <v>15</v>
      </c>
      <c r="M5" s="94">
        <v>20.267307384433366</v>
      </c>
      <c r="O5" s="110">
        <v>2025</v>
      </c>
      <c r="P5" s="74" t="s">
        <v>2</v>
      </c>
      <c r="Q5" s="94">
        <v>25830.314155651115</v>
      </c>
      <c r="S5" s="90">
        <v>2020</v>
      </c>
      <c r="T5" s="74" t="s">
        <v>15</v>
      </c>
      <c r="U5" s="93">
        <v>258778.72761455982</v>
      </c>
      <c r="V5" s="93">
        <v>231296.02915433093</v>
      </c>
      <c r="W5" s="93">
        <v>238687.92450487678</v>
      </c>
      <c r="X5" s="93">
        <v>1524.7900999159885</v>
      </c>
      <c r="Y5" s="94">
        <v>730287.47137368342</v>
      </c>
      <c r="AA5" s="110">
        <v>2020</v>
      </c>
      <c r="AB5" s="74" t="s">
        <v>15</v>
      </c>
      <c r="AC5" s="94">
        <v>12.186730007541485</v>
      </c>
      <c r="AE5" t="s">
        <v>83</v>
      </c>
      <c r="AF5" s="2">
        <f>AVERAGE(Tabela25[Média do Volume (%)])</f>
        <v>1.9225227594626846</v>
      </c>
      <c r="AI5" s="2"/>
      <c r="AN5" s="144" t="s">
        <v>28</v>
      </c>
      <c r="AO5" s="145"/>
      <c r="AP5" s="145"/>
      <c r="AQ5" s="145"/>
      <c r="AR5" s="145"/>
      <c r="AS5" s="145"/>
      <c r="AT5" s="145"/>
      <c r="AU5" s="145"/>
      <c r="AV5" s="145"/>
      <c r="AW5" s="145"/>
      <c r="AX5" s="146"/>
    </row>
    <row r="6" spans="2:50" ht="15.75" thickBot="1" x14ac:dyDescent="0.3">
      <c r="B6" s="90">
        <v>2020</v>
      </c>
      <c r="C6" s="74" t="s">
        <v>56</v>
      </c>
      <c r="D6" s="74" t="s">
        <v>2</v>
      </c>
      <c r="E6" s="94">
        <v>6584.642188865274</v>
      </c>
      <c r="G6" s="90">
        <v>2020</v>
      </c>
      <c r="H6" s="74" t="s">
        <v>3</v>
      </c>
      <c r="I6" s="94">
        <v>1736.8747464827961</v>
      </c>
      <c r="K6" s="108">
        <v>2020</v>
      </c>
      <c r="L6" s="74" t="s">
        <v>3</v>
      </c>
      <c r="M6" s="94">
        <v>20.26771378090946</v>
      </c>
      <c r="O6" s="110">
        <v>2025</v>
      </c>
      <c r="P6" s="74" t="s">
        <v>5</v>
      </c>
      <c r="Q6" s="94">
        <v>5883.7647246591696</v>
      </c>
      <c r="S6" s="90">
        <v>2020</v>
      </c>
      <c r="T6" s="74" t="s">
        <v>3</v>
      </c>
      <c r="U6" s="93">
        <v>432561.37371252454</v>
      </c>
      <c r="V6" s="93">
        <v>441359.73672555166</v>
      </c>
      <c r="W6" s="93">
        <v>1191099.2300153938</v>
      </c>
      <c r="X6" s="93">
        <v>23879.208379355801</v>
      </c>
      <c r="Y6" s="94">
        <v>2088899.5488328259</v>
      </c>
      <c r="AA6" s="110">
        <v>2020</v>
      </c>
      <c r="AB6" s="74" t="s">
        <v>3</v>
      </c>
      <c r="AC6" s="94">
        <v>-4.3659478981797406</v>
      </c>
      <c r="AE6" t="s">
        <v>0</v>
      </c>
      <c r="AF6" s="80" t="s">
        <v>116</v>
      </c>
      <c r="AG6" t="s">
        <v>117</v>
      </c>
      <c r="AH6" t="s">
        <v>67</v>
      </c>
      <c r="AI6" s="2"/>
      <c r="AJ6" s="126" t="s">
        <v>118</v>
      </c>
      <c r="AK6" s="127"/>
      <c r="AL6" s="128"/>
      <c r="AN6" s="76" t="s">
        <v>0</v>
      </c>
      <c r="AO6" s="87" t="s">
        <v>48</v>
      </c>
      <c r="AP6" s="87" t="s">
        <v>49</v>
      </c>
      <c r="AQ6" s="87" t="s">
        <v>50</v>
      </c>
      <c r="AR6" s="87" t="s">
        <v>51</v>
      </c>
      <c r="AS6" s="87" t="s">
        <v>52</v>
      </c>
      <c r="AT6" s="87" t="s">
        <v>53</v>
      </c>
      <c r="AU6" s="77" t="s">
        <v>65</v>
      </c>
      <c r="AV6" s="77" t="s">
        <v>66</v>
      </c>
      <c r="AW6" s="77" t="s">
        <v>67</v>
      </c>
      <c r="AX6" s="77" t="s">
        <v>70</v>
      </c>
    </row>
    <row r="7" spans="2:50" x14ac:dyDescent="0.25">
      <c r="B7" s="90">
        <v>2020</v>
      </c>
      <c r="C7" s="74" t="s">
        <v>56</v>
      </c>
      <c r="D7" s="74" t="s">
        <v>3</v>
      </c>
      <c r="E7" s="94">
        <v>2088.899548832826</v>
      </c>
      <c r="G7" s="90">
        <v>2020</v>
      </c>
      <c r="H7" s="74" t="s">
        <v>11</v>
      </c>
      <c r="I7" s="94">
        <v>707.91978378391059</v>
      </c>
      <c r="K7" s="108">
        <v>2020</v>
      </c>
      <c r="L7" s="74" t="s">
        <v>11</v>
      </c>
      <c r="M7" s="94">
        <v>22.507348955595191</v>
      </c>
      <c r="O7" s="110">
        <v>2025</v>
      </c>
      <c r="P7" s="74" t="s">
        <v>13</v>
      </c>
      <c r="Q7" s="94">
        <v>4723.7781177149855</v>
      </c>
      <c r="S7" s="90">
        <v>2020</v>
      </c>
      <c r="T7" s="74" t="s">
        <v>11</v>
      </c>
      <c r="U7" s="93">
        <v>378781.64171210874</v>
      </c>
      <c r="V7" s="93">
        <v>125250.09833031795</v>
      </c>
      <c r="W7" s="93">
        <v>362954.0504325272</v>
      </c>
      <c r="X7" s="93">
        <v>267.9693708963631</v>
      </c>
      <c r="Y7" s="94">
        <v>867253.75984585017</v>
      </c>
      <c r="AA7" s="110">
        <v>2020</v>
      </c>
      <c r="AB7" s="74" t="s">
        <v>11</v>
      </c>
      <c r="AC7" s="94">
        <v>-17.078022532517252</v>
      </c>
      <c r="AE7" t="s">
        <v>15</v>
      </c>
      <c r="AF7" s="132">
        <f>AVERAGEIF(Quadro_4[Províncias],AE7, Quadro_4[Valores percentuais do preço])</f>
        <v>25.431680083628308</v>
      </c>
      <c r="AG7" s="132">
        <f>AVERAGEIF(Quadro_8[Províncias], AE7, Quadro_8[variação Percentual dp Volume])</f>
        <v>5.9061141697777186</v>
      </c>
      <c r="AH7" t="s">
        <v>85</v>
      </c>
      <c r="AI7" s="2"/>
      <c r="AJ7" s="114" t="s">
        <v>73</v>
      </c>
      <c r="AK7" s="74" t="s">
        <v>95</v>
      </c>
      <c r="AL7" s="25" t="s">
        <v>96</v>
      </c>
      <c r="AN7" s="75" t="s">
        <v>15</v>
      </c>
      <c r="AO7" s="85">
        <v>12.186730007541485</v>
      </c>
      <c r="AP7" s="85">
        <v>8.9531954580124307E-2</v>
      </c>
      <c r="AQ7" s="85">
        <v>-0.58908086941804072</v>
      </c>
      <c r="AR7" s="85">
        <v>14.05671801795647</v>
      </c>
      <c r="AS7" s="85">
        <v>6.509908553595352</v>
      </c>
      <c r="AT7" s="85">
        <v>3.1828773544109197</v>
      </c>
      <c r="AU7" s="83">
        <f>(1+Quadro8[[#This Row],[2021]]/100)*(1+Quadro8[[#This Row],[2022]]/100)*(1+Quadro8[[#This Row],[2023]]/100)*(1+Quadro8[[#This Row],[2024]]/100)*(1+Quadro8[[#This Row],[2025]]/100)-1</f>
        <v>0.24721482494295821</v>
      </c>
      <c r="AV7" s="86">
        <f>_xlfn.STDEV.P(Quadro8[[#This Row],[2020]:[2025]])</f>
        <v>5.6225624654209074</v>
      </c>
      <c r="AW7" s="86" t="str">
        <f>IF(Quadro8[[#This Row],[Desvio Padrão]]&lt;=5.86, "Muito Consistente", IF(AND(AV7&gt;5.86, AV7&lt;=7.66), "Consistente", IF(AND(AV7&gt;7.66, AV7&lt;=9.98), "Instável", "Muito instável")))</f>
        <v>Muito Consistente</v>
      </c>
      <c r="AX7" s="86">
        <f>SLOPE(Quadro8[[#This Row],[2020]:[2025]], Modelagem!$AN$4:$AS$4)</f>
        <v>-0.31749527374950376</v>
      </c>
    </row>
    <row r="8" spans="2:50" x14ac:dyDescent="0.25">
      <c r="B8" s="90">
        <v>2020</v>
      </c>
      <c r="C8" s="74" t="s">
        <v>57</v>
      </c>
      <c r="D8" s="74" t="s">
        <v>4</v>
      </c>
      <c r="E8" s="94">
        <v>2023.7258657660327</v>
      </c>
      <c r="G8" s="90">
        <v>2020</v>
      </c>
      <c r="H8" s="74" t="s">
        <v>5</v>
      </c>
      <c r="I8" s="94">
        <v>2442.8303671292001</v>
      </c>
      <c r="K8" s="108">
        <v>2020</v>
      </c>
      <c r="L8" s="74" t="s">
        <v>5</v>
      </c>
      <c r="M8" s="94">
        <v>8.4343987438635537</v>
      </c>
      <c r="O8" s="110">
        <v>2025</v>
      </c>
      <c r="P8" s="74" t="s">
        <v>10</v>
      </c>
      <c r="Q8" s="94">
        <v>4060.7137890947602</v>
      </c>
      <c r="S8" s="90">
        <v>2020</v>
      </c>
      <c r="T8" s="74" t="s">
        <v>5</v>
      </c>
      <c r="U8" s="93">
        <v>198697.81833868747</v>
      </c>
      <c r="V8" s="93">
        <v>1598652.5506127989</v>
      </c>
      <c r="W8" s="93">
        <v>844861.73666226247</v>
      </c>
      <c r="X8" s="93">
        <v>6656.3153153154917</v>
      </c>
      <c r="Y8" s="94">
        <v>2648868.4209290645</v>
      </c>
      <c r="AA8" s="110">
        <v>2020</v>
      </c>
      <c r="AB8" s="74" t="s">
        <v>5</v>
      </c>
      <c r="AC8" s="94">
        <v>-0.96024402168659151</v>
      </c>
      <c r="AE8" s="133" t="s">
        <v>3</v>
      </c>
      <c r="AF8" s="134">
        <f>AVERAGEIF(Quadro_4[Províncias],AE8, Quadro_4[Valores percentuais do preço])</f>
        <v>23.781991895095373</v>
      </c>
      <c r="AG8" s="134">
        <f>AVERAGEIF(Quadro_8[Províncias], AE8, Quadro_8[variação Percentual dp Volume])</f>
        <v>8.5241338243082225</v>
      </c>
      <c r="AH8" s="133" t="s">
        <v>84</v>
      </c>
      <c r="AI8" s="2"/>
      <c r="AJ8" s="114" t="s">
        <v>1</v>
      </c>
      <c r="AK8" s="93">
        <v>32289.425209537356</v>
      </c>
      <c r="AL8" s="123">
        <v>4.3537729882563951</v>
      </c>
      <c r="AN8" s="75" t="s">
        <v>3</v>
      </c>
      <c r="AO8" s="85">
        <v>-4.3659478981797406</v>
      </c>
      <c r="AP8" s="85">
        <v>3.552561913987347</v>
      </c>
      <c r="AQ8" s="85">
        <v>15.908346416517929</v>
      </c>
      <c r="AR8" s="85">
        <v>-1.0945294091362854</v>
      </c>
      <c r="AS8" s="85">
        <v>33.138034107568672</v>
      </c>
      <c r="AT8" s="85">
        <v>4.0063378150914133</v>
      </c>
      <c r="AU8" s="83">
        <f>(1+Quadro8[[#This Row],[2021]]/100)*(1+Quadro8[[#This Row],[2022]]/100)*(1+Quadro8[[#This Row],[2023]]/100)*(1+Quadro8[[#This Row],[2024]]/100)*(1+Quadro8[[#This Row],[2025]]/100)-1</f>
        <v>0.6438334601250375</v>
      </c>
      <c r="AV8" s="86">
        <f>_xlfn.STDEV.P(Quadro8[[#This Row],[2020]:[2025]])</f>
        <v>12.676556972172818</v>
      </c>
      <c r="AW8" s="86" t="str">
        <f>IF(Quadro8[[#This Row],[Desvio Padrão]]&lt;=5.86, "Muito Consistente", IF(AND(AV8&gt;5.86, AV8&lt;=7.66), "Consistente", IF(AND(AV8&gt;7.66, AV8&lt;=9.98), "Instável", "Muito instável")))</f>
        <v>Muito instável</v>
      </c>
      <c r="AX8" s="86">
        <f>SLOPE(Quadro8[[#This Row],[2020]:[2025]], Modelagem!$AN$4:$AS$4)</f>
        <v>3.246141980612729</v>
      </c>
    </row>
    <row r="9" spans="2:50" x14ac:dyDescent="0.25">
      <c r="B9" s="90">
        <v>2020</v>
      </c>
      <c r="C9" s="74" t="s">
        <v>56</v>
      </c>
      <c r="D9" s="74" t="s">
        <v>5</v>
      </c>
      <c r="E9" s="94">
        <v>2648.8684209290632</v>
      </c>
      <c r="G9" s="90">
        <v>2020</v>
      </c>
      <c r="H9" s="74" t="s">
        <v>18</v>
      </c>
      <c r="I9" s="94">
        <v>245.45512332532016</v>
      </c>
      <c r="K9" s="108">
        <v>2020</v>
      </c>
      <c r="L9" s="74" t="s">
        <v>18</v>
      </c>
      <c r="M9" s="94">
        <v>14.834564795907056</v>
      </c>
      <c r="O9" s="110">
        <v>2025</v>
      </c>
      <c r="P9" s="74" t="s">
        <v>7</v>
      </c>
      <c r="Q9" s="94">
        <v>4586.9610223327154</v>
      </c>
      <c r="S9" s="90">
        <v>2020</v>
      </c>
      <c r="T9" s="74" t="s">
        <v>18</v>
      </c>
      <c r="U9" s="93">
        <v>36593.468674801334</v>
      </c>
      <c r="V9" s="93">
        <v>127351.93262375949</v>
      </c>
      <c r="W9" s="93">
        <v>117620.8406519616</v>
      </c>
      <c r="X9" s="93">
        <v>301.08068936587136</v>
      </c>
      <c r="Y9" s="94">
        <v>281867.32263988827</v>
      </c>
      <c r="AA9" s="110">
        <v>2020</v>
      </c>
      <c r="AB9" s="74" t="s">
        <v>18</v>
      </c>
      <c r="AC9" s="94">
        <v>-22.855150006822399</v>
      </c>
      <c r="AE9" t="s">
        <v>11</v>
      </c>
      <c r="AF9" s="132">
        <f>AVERAGEIF(Quadro_4[Províncias],AE9, Quadro_4[Valores percentuais do preço])</f>
        <v>26.961593062375012</v>
      </c>
      <c r="AG9" s="132">
        <f>AVERAGEIF(Quadro_8[Províncias], AE9, Quadro_8[variação Percentual dp Volume])</f>
        <v>2.0223987916572335</v>
      </c>
      <c r="AH9" t="s">
        <v>85</v>
      </c>
      <c r="AI9" s="2"/>
      <c r="AJ9" s="114" t="s">
        <v>2</v>
      </c>
      <c r="AK9" s="93">
        <v>18417.764583403474</v>
      </c>
      <c r="AL9" s="123">
        <v>-0.18846023487003549</v>
      </c>
      <c r="AN9" s="75" t="s">
        <v>11</v>
      </c>
      <c r="AO9" s="85">
        <v>-17.078022532517252</v>
      </c>
      <c r="AP9" s="85">
        <v>17.15200954873022</v>
      </c>
      <c r="AQ9" s="85">
        <v>0.97627869871797657</v>
      </c>
      <c r="AR9" s="85">
        <v>1.7312520583720641</v>
      </c>
      <c r="AS9" s="85">
        <v>8.7334468778138756</v>
      </c>
      <c r="AT9" s="85">
        <v>0.61942809882651773</v>
      </c>
      <c r="AU9" s="83">
        <f>(1+Quadro8[[#This Row],[2021]]/100)*(1+Quadro8[[#This Row],[2022]]/100)*(1+Quadro8[[#This Row],[2023]]/100)*(1+Quadro8[[#This Row],[2024]]/100)*(1+Quadro8[[#This Row],[2025]]/100)-1</f>
        <v>0.31664439224952146</v>
      </c>
      <c r="AV9" s="86">
        <f>_xlfn.STDEV.P(Quadro8[[#This Row],[2020]:[2025]])</f>
        <v>10.343410489053088</v>
      </c>
      <c r="AW9" s="86" t="str">
        <f>IF(Quadro8[[#This Row],[Desvio Padrão]]&lt;=5.86, "Muito Consistente", IF(AND(AV9&gt;5.86, AV9&lt;=7.66), "Consistente", IF(AND(AV9&gt;7.66, AV9&lt;=9.98), "Instável", "Muito instável")))</f>
        <v>Muito instável</v>
      </c>
      <c r="AX9" s="86">
        <f>SLOPE(Quadro8[[#This Row],[2020]:[2025]], Modelagem!$AN$4:$AS$4)</f>
        <v>1.8281868143892548</v>
      </c>
    </row>
    <row r="10" spans="2:50" x14ac:dyDescent="0.25">
      <c r="B10" s="90">
        <v>2020</v>
      </c>
      <c r="C10" s="74" t="s">
        <v>56</v>
      </c>
      <c r="D10" s="74" t="s">
        <v>6</v>
      </c>
      <c r="E10" s="94">
        <v>2000.1571717975989</v>
      </c>
      <c r="G10" s="90">
        <v>2020</v>
      </c>
      <c r="H10" s="74" t="s">
        <v>13</v>
      </c>
      <c r="I10" s="94">
        <v>656.62335400466316</v>
      </c>
      <c r="K10" s="108">
        <v>2020</v>
      </c>
      <c r="L10" s="74" t="s">
        <v>13</v>
      </c>
      <c r="M10" s="94">
        <v>21.708959162121118</v>
      </c>
      <c r="O10" s="110">
        <v>2025</v>
      </c>
      <c r="P10" s="74" t="s">
        <v>1</v>
      </c>
      <c r="Q10" s="94">
        <v>3908.3373604836174</v>
      </c>
      <c r="S10" s="90">
        <v>2020</v>
      </c>
      <c r="T10" s="74" t="s">
        <v>13</v>
      </c>
      <c r="U10" s="93">
        <v>264480.8899846042</v>
      </c>
      <c r="V10" s="93">
        <v>150538.33763295197</v>
      </c>
      <c r="W10" s="93">
        <v>383621.97888888291</v>
      </c>
      <c r="X10" s="93">
        <v>528.24326804626764</v>
      </c>
      <c r="Y10" s="94">
        <v>799169.44977448531</v>
      </c>
      <c r="AA10" s="110">
        <v>2020</v>
      </c>
      <c r="AB10" s="74" t="s">
        <v>13</v>
      </c>
      <c r="AC10" s="94">
        <v>-6.8841619131927416</v>
      </c>
      <c r="AE10" t="s">
        <v>5</v>
      </c>
      <c r="AF10" s="132">
        <f>AVERAGEIF(Quadro_4[Províncias],AE10, Quadro_4[Valores percentuais do preço])</f>
        <v>21.823528821695589</v>
      </c>
      <c r="AG10" s="132">
        <f>AVERAGEIF(Quadro_8[Províncias], AE10, Quadro_8[variação Percentual dp Volume])</f>
        <v>-5.2674067403944234</v>
      </c>
      <c r="AH10" t="s">
        <v>87</v>
      </c>
      <c r="AI10" s="2"/>
      <c r="AJ10" s="114" t="s">
        <v>3</v>
      </c>
      <c r="AK10" s="93">
        <v>7832.6565130892122</v>
      </c>
      <c r="AL10" s="123">
        <v>4.0063378150914133</v>
      </c>
      <c r="AN10" s="75" t="s">
        <v>5</v>
      </c>
      <c r="AO10" s="85">
        <v>-0.96024402168659151</v>
      </c>
      <c r="AP10" s="85">
        <v>-17.155268485348017</v>
      </c>
      <c r="AQ10" s="85">
        <v>-1.9429752632650121</v>
      </c>
      <c r="AR10" s="85">
        <v>-5.6679610554785143</v>
      </c>
      <c r="AS10" s="85">
        <v>-1.0978789557493513</v>
      </c>
      <c r="AT10" s="85">
        <v>-4.7801126608390518</v>
      </c>
      <c r="AU10" s="83">
        <f>(1+Quadro8[[#This Row],[2021]]/100)*(1+Quadro8[[#This Row],[2022]]/100)*(1+Quadro8[[#This Row],[2023]]/100)*(1+Quadro8[[#This Row],[2024]]/100)*(1+Quadro8[[#This Row],[2025]]/100)-1</f>
        <v>-0.27833424567700615</v>
      </c>
      <c r="AV10" s="86">
        <f>_xlfn.STDEV.P(Quadro8[[#This Row],[2020]:[2025]])</f>
        <v>5.6081430887730273</v>
      </c>
      <c r="AW10" s="86" t="str">
        <f>IF(Quadro8[[#This Row],[Desvio Padrão]]&lt;=5.86, "Muito Consistente", IF(AND(AV10&gt;5.86, AV10&lt;=7.66), "Consistente", IF(AND(AV10&gt;7.66, AV10&lt;=9.98), "Instável", "Muito instável")))</f>
        <v>Muito Consistente</v>
      </c>
      <c r="AX10" s="86">
        <f>SLOPE(Quadro8[[#This Row],[2020]:[2025]], Modelagem!$AN$4:$AS$4)</f>
        <v>0.72422398859486248</v>
      </c>
    </row>
    <row r="11" spans="2:50" x14ac:dyDescent="0.25">
      <c r="B11" s="90">
        <v>2020</v>
      </c>
      <c r="C11" s="74" t="s">
        <v>57</v>
      </c>
      <c r="D11" s="74" t="s">
        <v>7</v>
      </c>
      <c r="E11" s="94">
        <v>1392.0194222577275</v>
      </c>
      <c r="G11" s="90">
        <v>2020</v>
      </c>
      <c r="H11" s="74" t="s">
        <v>6</v>
      </c>
      <c r="I11" s="94">
        <v>1644.1309828269534</v>
      </c>
      <c r="K11" s="108">
        <v>2020</v>
      </c>
      <c r="L11" s="74" t="s">
        <v>6</v>
      </c>
      <c r="M11" s="94">
        <v>21.654368945622963</v>
      </c>
      <c r="O11" s="110">
        <v>2025</v>
      </c>
      <c r="P11" s="74" t="s">
        <v>15</v>
      </c>
      <c r="Q11" s="94">
        <v>4003.9188396850941</v>
      </c>
      <c r="S11" s="90">
        <v>2020</v>
      </c>
      <c r="T11" s="74" t="s">
        <v>6</v>
      </c>
      <c r="U11" s="93">
        <v>670148.64154699491</v>
      </c>
      <c r="V11" s="93">
        <v>483119.2335315831</v>
      </c>
      <c r="W11" s="93">
        <v>845975.11148316623</v>
      </c>
      <c r="X11" s="93">
        <v>914.18523585440187</v>
      </c>
      <c r="Y11" s="94">
        <v>2000157.1717975987</v>
      </c>
      <c r="AA11" s="110">
        <v>2020</v>
      </c>
      <c r="AB11" s="74" t="s">
        <v>6</v>
      </c>
      <c r="AC11" s="94">
        <v>16.256324460229351</v>
      </c>
      <c r="AE11" t="s">
        <v>18</v>
      </c>
      <c r="AF11" s="132">
        <f>AVERAGEIF(Quadro_4[Províncias],AE11, Quadro_4[Valores percentuais do preço])</f>
        <v>19.370773537608397</v>
      </c>
      <c r="AG11" s="132">
        <f>AVERAGEIF(Quadro_8[Províncias], AE11, Quadro_8[variação Percentual dp Volume])</f>
        <v>-2.0583469024541281</v>
      </c>
      <c r="AH11" t="s">
        <v>87</v>
      </c>
      <c r="AI11" s="2"/>
      <c r="AJ11" s="114" t="s">
        <v>4</v>
      </c>
      <c r="AK11" s="93">
        <v>6046.640032702674</v>
      </c>
      <c r="AL11" s="123">
        <v>6.2803174119076459</v>
      </c>
      <c r="AN11" s="75" t="s">
        <v>18</v>
      </c>
      <c r="AO11" s="85">
        <v>-22.855150006822399</v>
      </c>
      <c r="AP11" s="85">
        <v>20.696452546852797</v>
      </c>
      <c r="AQ11" s="85">
        <v>-0.85614818901082401</v>
      </c>
      <c r="AR11" s="85">
        <v>2.8697669136538622</v>
      </c>
      <c r="AS11" s="85">
        <v>-12.824407772525305</v>
      </c>
      <c r="AT11" s="85">
        <v>0.61940509312709935</v>
      </c>
      <c r="AU11" s="83">
        <f>(1+Quadro8[[#This Row],[2021]]/100)*(1+Quadro8[[#This Row],[2022]]/100)*(1+Quadro8[[#This Row],[2023]]/100)*(1+Quadro8[[#This Row],[2024]]/100)*(1+Quadro8[[#This Row],[2025]]/100)-1</f>
        <v>7.9753699566012415E-2</v>
      </c>
      <c r="AV11" s="86">
        <f>_xlfn.STDEV.P(Quadro8[[#This Row],[2020]:[2025]])</f>
        <v>13.534510995224249</v>
      </c>
      <c r="AW11" s="86" t="str">
        <f>IF(Quadro8[[#This Row],[Desvio Padrão]]&lt;=5.86, "Muito Consistente", IF(AND(AV11&gt;5.86, AV11&lt;=7.66), "Consistente", IF(AND(AV11&gt;7.66, AV11&lt;=9.98), "Instável", "Muito instável")))</f>
        <v>Muito instável</v>
      </c>
      <c r="AX11" s="86">
        <f>SLOPE(Quadro8[[#This Row],[2020]:[2025]], Modelagem!$AN$4:$AS$4)</f>
        <v>0.58674598983651027</v>
      </c>
    </row>
    <row r="12" spans="2:50" x14ac:dyDescent="0.25">
      <c r="B12" s="90">
        <v>2020</v>
      </c>
      <c r="C12" s="74" t="s">
        <v>57</v>
      </c>
      <c r="D12" s="74" t="s">
        <v>8</v>
      </c>
      <c r="E12" s="94">
        <v>1282.1489535983867</v>
      </c>
      <c r="G12" s="90">
        <v>2020</v>
      </c>
      <c r="H12" s="74" t="s">
        <v>17</v>
      </c>
      <c r="I12" s="94">
        <v>320.80477836880601</v>
      </c>
      <c r="K12" s="108">
        <v>2020</v>
      </c>
      <c r="L12" s="74" t="s">
        <v>17</v>
      </c>
      <c r="M12" s="94">
        <v>13.857294926187322</v>
      </c>
      <c r="O12" s="110">
        <v>2025</v>
      </c>
      <c r="P12" s="74" t="s">
        <v>3</v>
      </c>
      <c r="Q12" s="94">
        <v>3849.8325996697722</v>
      </c>
      <c r="S12" s="90">
        <v>2020</v>
      </c>
      <c r="T12" s="74" t="s">
        <v>17</v>
      </c>
      <c r="U12" s="93">
        <v>15940.525872171016</v>
      </c>
      <c r="V12" s="93">
        <v>165135.78573671167</v>
      </c>
      <c r="W12" s="93">
        <v>169967.27013029566</v>
      </c>
      <c r="X12" s="93">
        <v>14216.060905494725</v>
      </c>
      <c r="Y12" s="94">
        <v>365259.64264467306</v>
      </c>
      <c r="AA12" s="110">
        <v>2020</v>
      </c>
      <c r="AB12" s="74" t="s">
        <v>17</v>
      </c>
      <c r="AC12" s="94">
        <v>-20.552078877344528</v>
      </c>
      <c r="AE12" t="s">
        <v>13</v>
      </c>
      <c r="AF12" s="132">
        <f>AVERAGEIF(Quadro_4[Províncias],AE12, Quadro_4[Valores percentuais do preço])</f>
        <v>26.040742636574077</v>
      </c>
      <c r="AG12" s="132">
        <f>AVERAGEIF(Quadro_8[Províncias], AE12, Quadro_8[variação Percentual dp Volume])</f>
        <v>2.3345021745766181</v>
      </c>
      <c r="AH12" t="s">
        <v>85</v>
      </c>
      <c r="AI12" s="2"/>
      <c r="AJ12" s="114" t="s">
        <v>5</v>
      </c>
      <c r="AK12" s="93">
        <v>5193.8558915354779</v>
      </c>
      <c r="AL12" s="123">
        <v>-4.7801126608390518</v>
      </c>
      <c r="AN12" s="75" t="s">
        <v>13</v>
      </c>
      <c r="AO12" s="85">
        <v>-6.8841619131927416</v>
      </c>
      <c r="AP12" s="85">
        <v>10.643558100177387</v>
      </c>
      <c r="AQ12" s="85">
        <v>-2.9100149217224782</v>
      </c>
      <c r="AR12" s="85">
        <v>11.638973186164222</v>
      </c>
      <c r="AS12" s="85">
        <v>-3.1392706034002771</v>
      </c>
      <c r="AT12" s="85">
        <v>4.6579291994335961</v>
      </c>
      <c r="AU12" s="83">
        <f>(1+Quadro8[[#This Row],[2021]]/100)*(1+Quadro8[[#This Row],[2022]]/100)*(1+Quadro8[[#This Row],[2023]]/100)*(1+Quadro8[[#This Row],[2024]]/100)*(1+Quadro8[[#This Row],[2025]]/100)-1</f>
        <v>0.21572759243294604</v>
      </c>
      <c r="AV12" s="86">
        <f>_xlfn.STDEV.P(Quadro8[[#This Row],[2020]:[2025]])</f>
        <v>7.1117604463955093</v>
      </c>
      <c r="AW12" s="86" t="str">
        <f>IF(Quadro8[[#This Row],[Desvio Padrão]]&lt;=5.86, "Muito Consistente", IF(AND(AV12&gt;5.86, AV12&lt;=7.66), "Consistente", IF(AND(AV12&gt;7.66, AV12&lt;=9.98), "Instável", "Muito instável")))</f>
        <v>Consistente</v>
      </c>
      <c r="AX12" s="86">
        <f>SLOPE(Quadro8[[#This Row],[2020]:[2025]], Modelagem!$AN$4:$AS$4)</f>
        <v>0.88317021600815426</v>
      </c>
    </row>
    <row r="13" spans="2:50" x14ac:dyDescent="0.25">
      <c r="B13" s="90">
        <v>2020</v>
      </c>
      <c r="C13" s="74" t="s">
        <v>57</v>
      </c>
      <c r="D13" s="74" t="s">
        <v>9</v>
      </c>
      <c r="E13" s="94">
        <v>1107.4303439096352</v>
      </c>
      <c r="G13" s="90">
        <v>2020</v>
      </c>
      <c r="H13" s="74" t="s">
        <v>8</v>
      </c>
      <c r="I13" s="94">
        <v>1063.509114486247</v>
      </c>
      <c r="K13" s="108">
        <v>2020</v>
      </c>
      <c r="L13" s="74" t="s">
        <v>8</v>
      </c>
      <c r="M13" s="94">
        <v>20.558341826506933</v>
      </c>
      <c r="O13" s="110">
        <v>2025</v>
      </c>
      <c r="P13" s="74" t="s">
        <v>4</v>
      </c>
      <c r="Q13" s="94">
        <v>4130.4285862852976</v>
      </c>
      <c r="S13" s="90">
        <v>2020</v>
      </c>
      <c r="T13" s="74" t="s">
        <v>8</v>
      </c>
      <c r="U13" s="93">
        <v>357807.93036350032</v>
      </c>
      <c r="V13" s="93">
        <v>256792.12670279376</v>
      </c>
      <c r="W13" s="93">
        <v>666342.31735276524</v>
      </c>
      <c r="X13" s="93">
        <v>1206.5791793275355</v>
      </c>
      <c r="Y13" s="94">
        <v>1282148.9535983868</v>
      </c>
      <c r="AA13" s="110">
        <v>2020</v>
      </c>
      <c r="AB13" s="74" t="s">
        <v>8</v>
      </c>
      <c r="AC13" s="94">
        <v>-3.6638426908455415</v>
      </c>
      <c r="AE13" t="s">
        <v>6</v>
      </c>
      <c r="AF13" s="132">
        <f>AVERAGEIF(Quadro_4[Províncias],AE13, Quadro_4[Valores percentuais do preço])</f>
        <v>26.739506826422453</v>
      </c>
      <c r="AG13" s="132">
        <f>AVERAGEIF(Quadro_8[Províncias], AE13, Quadro_8[variação Percentual dp Volume])</f>
        <v>1.3205529231810189</v>
      </c>
      <c r="AH13" t="s">
        <v>86</v>
      </c>
      <c r="AI13" s="2"/>
      <c r="AJ13" s="114" t="s">
        <v>6</v>
      </c>
      <c r="AK13" s="93">
        <v>4615.7571603466004</v>
      </c>
      <c r="AL13" s="123">
        <v>2.2972227553008935</v>
      </c>
      <c r="AN13" s="75" t="s">
        <v>6</v>
      </c>
      <c r="AO13" s="85">
        <v>16.256324460229351</v>
      </c>
      <c r="AP13" s="85">
        <v>0.57169202803105179</v>
      </c>
      <c r="AQ13" s="85">
        <v>-13.525248522287583</v>
      </c>
      <c r="AR13" s="85">
        <v>-2.4457229863356957</v>
      </c>
      <c r="AS13" s="85">
        <v>4.7690498041480964</v>
      </c>
      <c r="AT13" s="85">
        <v>2.2972227553008935</v>
      </c>
      <c r="AU13" s="83">
        <f>(1+Quadro8[[#This Row],[2021]]/100)*(1+Quadro8[[#This Row],[2022]]/100)*(1+Quadro8[[#This Row],[2023]]/100)*(1+Quadro8[[#This Row],[2024]]/100)*(1+Quadro8[[#This Row],[2025]]/100)-1</f>
        <v>-9.0697798713620381E-2</v>
      </c>
      <c r="AV13" s="86">
        <f>_xlfn.STDEV.P(Quadro8[[#This Row],[2020]:[2025]])</f>
        <v>8.8606502162753671</v>
      </c>
      <c r="AW13" s="86" t="str">
        <f>IF(Quadro8[[#This Row],[Desvio Padrão]]&lt;=5.86, "Muito Consistente", IF(AND(AV13&gt;5.86, AV13&lt;=7.66), "Consistente", IF(AND(AV13&gt;7.66, AV13&lt;=9.98), "Instável", "Muito instável")))</f>
        <v>Instável</v>
      </c>
      <c r="AX13" s="86">
        <f>SLOPE(Quadro8[[#This Row],[2020]:[2025]], Modelagem!$AN$4:$AS$4)</f>
        <v>-1.3178259902954075</v>
      </c>
    </row>
    <row r="14" spans="2:50" x14ac:dyDescent="0.25">
      <c r="B14" s="90">
        <v>2020</v>
      </c>
      <c r="C14" s="74" t="s">
        <v>57</v>
      </c>
      <c r="D14" s="74" t="s">
        <v>10</v>
      </c>
      <c r="E14" s="94">
        <v>1316.3938310328635</v>
      </c>
      <c r="G14" s="90">
        <v>2020</v>
      </c>
      <c r="H14" s="74" t="s">
        <v>9</v>
      </c>
      <c r="I14" s="94">
        <v>924.23561855959326</v>
      </c>
      <c r="K14" s="108">
        <v>2020</v>
      </c>
      <c r="L14" s="74" t="s">
        <v>9</v>
      </c>
      <c r="M14" s="94">
        <v>19.821214598453608</v>
      </c>
      <c r="O14" s="110">
        <v>2025</v>
      </c>
      <c r="P14" s="74" t="s">
        <v>12</v>
      </c>
      <c r="Q14" s="94">
        <v>3693.8561255933814</v>
      </c>
      <c r="S14" s="90">
        <v>2020</v>
      </c>
      <c r="T14" s="74" t="s">
        <v>9</v>
      </c>
      <c r="U14" s="93">
        <v>253026.60123501223</v>
      </c>
      <c r="V14" s="93">
        <v>241455.34215558</v>
      </c>
      <c r="W14" s="93">
        <v>608742.14281758247</v>
      </c>
      <c r="X14" s="93">
        <v>4206.2577014602075</v>
      </c>
      <c r="Y14" s="94">
        <v>1107430.343909635</v>
      </c>
      <c r="AA14" s="110">
        <v>2020</v>
      </c>
      <c r="AB14" s="74" t="s">
        <v>9</v>
      </c>
      <c r="AC14" s="94">
        <v>-7.7300878135355759</v>
      </c>
      <c r="AE14" t="s">
        <v>17</v>
      </c>
      <c r="AF14" s="132">
        <f>AVERAGEIF(Quadro_4[Províncias],AE14, Quadro_4[Valores percentuais do preço])</f>
        <v>16.565449167578546</v>
      </c>
      <c r="AG14" s="132">
        <f>AVERAGEIF(Quadro_8[Províncias], AE14, Quadro_8[variação Percentual dp Volume])</f>
        <v>1.3571452485661173</v>
      </c>
      <c r="AH14" t="s">
        <v>87</v>
      </c>
      <c r="AI14" s="2"/>
      <c r="AJ14" s="114" t="s">
        <v>7</v>
      </c>
      <c r="AK14" s="93">
        <v>4357.9843587192972</v>
      </c>
      <c r="AL14" s="123">
        <v>5.9091393278838353</v>
      </c>
      <c r="AN14" s="75" t="s">
        <v>17</v>
      </c>
      <c r="AO14" s="85">
        <v>-20.552078877344528</v>
      </c>
      <c r="AP14" s="85">
        <v>13.83864539722947</v>
      </c>
      <c r="AQ14" s="85">
        <v>-3.3365132573366765</v>
      </c>
      <c r="AR14" s="85">
        <v>14.189488063916727</v>
      </c>
      <c r="AS14" s="85">
        <v>-5.093077816995347</v>
      </c>
      <c r="AT14" s="85">
        <v>9.096407981927058</v>
      </c>
      <c r="AU14" s="83">
        <f>(1+Quadro8[[#This Row],[2021]]/100)*(1+Quadro8[[#This Row],[2022]]/100)*(1+Quadro8[[#This Row],[2023]]/100)*(1+Quadro8[[#This Row],[2024]]/100)*(1+Quadro8[[#This Row],[2025]]/100)-1</f>
        <v>0.30102799860458984</v>
      </c>
      <c r="AV14" s="86">
        <f>_xlfn.STDEV.P(Quadro8[[#This Row],[2020]:[2025]])</f>
        <v>12.409693558616942</v>
      </c>
      <c r="AW14" s="86" t="str">
        <f>IF(Quadro8[[#This Row],[Desvio Padrão]]&lt;=5.86, "Muito Consistente", IF(AND(AV14&gt;5.86, AV14&lt;=7.66), "Consistente", IF(AND(AV14&gt;7.66, AV14&lt;=9.98), "Instável", "Muito instável")))</f>
        <v>Muito instável</v>
      </c>
      <c r="AX14" s="86">
        <f>SLOPE(Quadro8[[#This Row],[2020]:[2025]], Modelagem!$AN$4:$AS$4)</f>
        <v>3.1135218849981965</v>
      </c>
    </row>
    <row r="15" spans="2:50" x14ac:dyDescent="0.25">
      <c r="B15" s="90">
        <v>2020</v>
      </c>
      <c r="C15" s="74" t="s">
        <v>57</v>
      </c>
      <c r="D15" s="74" t="s">
        <v>11</v>
      </c>
      <c r="E15" s="94">
        <v>867.25375984585025</v>
      </c>
      <c r="G15" s="90">
        <v>2020</v>
      </c>
      <c r="H15" s="74" t="s">
        <v>1</v>
      </c>
      <c r="I15" s="94">
        <v>10476.093522853276</v>
      </c>
      <c r="K15" s="108">
        <v>2020</v>
      </c>
      <c r="L15" s="74" t="s">
        <v>1</v>
      </c>
      <c r="M15" s="94">
        <v>19.267782266190792</v>
      </c>
      <c r="O15" s="110">
        <v>2025</v>
      </c>
      <c r="P15" s="74" t="s">
        <v>6</v>
      </c>
      <c r="Q15" s="94">
        <v>2589.0379474683996</v>
      </c>
      <c r="S15" s="90">
        <v>2020</v>
      </c>
      <c r="T15" s="74" t="s">
        <v>1</v>
      </c>
      <c r="U15" s="93">
        <v>254651.28654717197</v>
      </c>
      <c r="V15" s="93">
        <v>2387371.6529402332</v>
      </c>
      <c r="W15" s="93">
        <v>9012081.4251881205</v>
      </c>
      <c r="X15" s="93">
        <v>840500.04816363577</v>
      </c>
      <c r="Y15" s="94">
        <v>12494604.412839161</v>
      </c>
      <c r="AA15" s="110">
        <v>2020</v>
      </c>
      <c r="AB15" s="74" t="s">
        <v>1</v>
      </c>
      <c r="AC15" s="94">
        <v>-7.6831475025241929</v>
      </c>
      <c r="AE15" t="s">
        <v>8</v>
      </c>
      <c r="AF15" s="132">
        <f>AVERAGEIF(Quadro_4[Províncias],AE15, Quadro_4[Valores percentuais do preço])</f>
        <v>25.05517757590091</v>
      </c>
      <c r="AG15" s="132">
        <f>AVERAGEIF(Quadro_8[Províncias], AE15, Quadro_8[variação Percentual dp Volume])</f>
        <v>2.0766925612203813</v>
      </c>
      <c r="AH15" t="s">
        <v>85</v>
      </c>
      <c r="AI15" s="2"/>
      <c r="AJ15" s="114" t="s">
        <v>8</v>
      </c>
      <c r="AK15" s="93">
        <v>3567.6597402225548</v>
      </c>
      <c r="AL15" s="123">
        <v>3.0178639240916283</v>
      </c>
      <c r="AN15" s="75" t="s">
        <v>8</v>
      </c>
      <c r="AO15" s="85">
        <v>-3.6638426908455415</v>
      </c>
      <c r="AP15" s="85">
        <v>2.647033289328931</v>
      </c>
      <c r="AQ15" s="85">
        <v>2.8156967010076954</v>
      </c>
      <c r="AR15" s="85">
        <v>12.529587965617296</v>
      </c>
      <c r="AS15" s="85">
        <v>-4.8861838218777223</v>
      </c>
      <c r="AT15" s="85">
        <v>3.0178639240916283</v>
      </c>
      <c r="AU15" s="83">
        <f>(1+Quadro8[[#This Row],[2021]]/100)*(1+Quadro8[[#This Row],[2022]]/100)*(1+Quadro8[[#This Row],[2023]]/100)*(1+Quadro8[[#This Row],[2024]]/100)*(1+Quadro8[[#This Row],[2025]]/100)-1</f>
        <v>0.16366695236342599</v>
      </c>
      <c r="AV15" s="86">
        <f>_xlfn.STDEV.P(Quadro8[[#This Row],[2020]:[2025]])</f>
        <v>5.6635623954190715</v>
      </c>
      <c r="AW15" s="86" t="str">
        <f>IF(Quadro8[[#This Row],[Desvio Padrão]]&lt;=5.86, "Muito Consistente", IF(AND(AV15&gt;5.86, AV15&lt;=7.66), "Consistente", IF(AND(AV15&gt;7.66, AV15&lt;=9.98), "Instável", "Muito instável")))</f>
        <v>Muito Consistente</v>
      </c>
      <c r="AX15" s="86">
        <f>SLOPE(Quadro8[[#This Row],[2020]:[2025]], Modelagem!$AN$4:$AS$4)</f>
        <v>0.58636494301929976</v>
      </c>
    </row>
    <row r="16" spans="2:50" x14ac:dyDescent="0.25">
      <c r="B16" s="90">
        <v>2020</v>
      </c>
      <c r="C16" s="74" t="s">
        <v>57</v>
      </c>
      <c r="D16" s="74" t="s">
        <v>12</v>
      </c>
      <c r="E16" s="94">
        <v>900.56477764625379</v>
      </c>
      <c r="G16" s="90">
        <v>2020</v>
      </c>
      <c r="H16" s="74" t="s">
        <v>14</v>
      </c>
      <c r="I16" s="94">
        <v>703.94523458114531</v>
      </c>
      <c r="K16" s="108">
        <v>2020</v>
      </c>
      <c r="L16" s="74" t="s">
        <v>14</v>
      </c>
      <c r="M16" s="94">
        <v>24.485230241557403</v>
      </c>
      <c r="O16" s="110">
        <v>2025</v>
      </c>
      <c r="P16" s="74" t="s">
        <v>16</v>
      </c>
      <c r="Q16" s="94">
        <v>1886.8359788343446</v>
      </c>
      <c r="S16" s="90">
        <v>2020</v>
      </c>
      <c r="T16" s="74" t="s">
        <v>14</v>
      </c>
      <c r="U16" s="93">
        <v>265643.34630752308</v>
      </c>
      <c r="V16" s="93">
        <v>218195.15632989939</v>
      </c>
      <c r="W16" s="93">
        <v>392236.487153664</v>
      </c>
      <c r="X16" s="93">
        <v>232.85625172364826</v>
      </c>
      <c r="Y16" s="94">
        <v>876307.84604281001</v>
      </c>
      <c r="AA16" s="110">
        <v>2020</v>
      </c>
      <c r="AB16" s="74" t="s">
        <v>14</v>
      </c>
      <c r="AC16" s="94">
        <v>-4.2883749558579467</v>
      </c>
      <c r="AE16" t="s">
        <v>9</v>
      </c>
      <c r="AF16" s="132">
        <f>AVERAGEIF(Quadro_4[Províncias],AE16, Quadro_4[Valores percentuais do preço])</f>
        <v>24.004284790866972</v>
      </c>
      <c r="AG16" s="132">
        <f>AVERAGEIF(Quadro_8[Províncias], AE16, Quadro_8[variação Percentual dp Volume])</f>
        <v>2.3765570124415141</v>
      </c>
      <c r="AH16" t="s">
        <v>85</v>
      </c>
      <c r="AI16" s="2"/>
      <c r="AJ16" s="114" t="s">
        <v>9</v>
      </c>
      <c r="AK16" s="93">
        <v>3269.3886357161209</v>
      </c>
      <c r="AL16" s="123">
        <v>0.58572452335565117</v>
      </c>
      <c r="AN16" s="75" t="s">
        <v>9</v>
      </c>
      <c r="AO16" s="85">
        <v>-7.7300878135355759</v>
      </c>
      <c r="AP16" s="85">
        <v>-1.021593540452912</v>
      </c>
      <c r="AQ16" s="85">
        <v>12.981119238696152</v>
      </c>
      <c r="AR16" s="85">
        <v>6.8734193743928245</v>
      </c>
      <c r="AS16" s="85">
        <v>2.5707602921929436</v>
      </c>
      <c r="AT16" s="85">
        <v>0.58572452335565117</v>
      </c>
      <c r="AU16" s="83">
        <f>(1+Quadro8[[#This Row],[2021]]/100)*(1+Quadro8[[#This Row],[2022]]/100)*(1+Quadro8[[#This Row],[2023]]/100)*(1+Quadro8[[#This Row],[2024]]/100)*(1+Quadro8[[#This Row],[2025]]/100)-1</f>
        <v>0.23303657212653772</v>
      </c>
      <c r="AV16" s="86">
        <f>_xlfn.STDEV.P(Quadro8[[#This Row],[2020]:[2025]])</f>
        <v>6.4500000497320267</v>
      </c>
      <c r="AW16" s="86" t="str">
        <f>IF(Quadro8[[#This Row],[Desvio Padrão]]&lt;=5.86, "Muito Consistente", IF(AND(AV16&gt;5.86, AV16&lt;=7.66), "Consistente", IF(AND(AV16&gt;7.66, AV16&lt;=9.98), "Instável", "Muito instável")))</f>
        <v>Consistente</v>
      </c>
      <c r="AX16" s="86">
        <f>SLOPE(Quadro8[[#This Row],[2020]:[2025]], Modelagem!$AN$4:$AS$4)</f>
        <v>1.3213835233740108</v>
      </c>
    </row>
    <row r="17" spans="2:50" x14ac:dyDescent="0.25">
      <c r="B17" s="90">
        <v>2020</v>
      </c>
      <c r="C17" s="74" t="s">
        <v>57</v>
      </c>
      <c r="D17" s="74" t="s">
        <v>13</v>
      </c>
      <c r="E17" s="94">
        <v>799.16944977448554</v>
      </c>
      <c r="G17" s="90">
        <v>2020</v>
      </c>
      <c r="H17" s="74" t="s">
        <v>10</v>
      </c>
      <c r="I17" s="94">
        <v>904.42305326519545</v>
      </c>
      <c r="K17" s="108">
        <v>2020</v>
      </c>
      <c r="L17" s="74" t="s">
        <v>10</v>
      </c>
      <c r="M17" s="94">
        <v>45.550671920662523</v>
      </c>
      <c r="O17" s="110">
        <v>2025</v>
      </c>
      <c r="P17" s="74" t="s">
        <v>8</v>
      </c>
      <c r="Q17" s="94">
        <v>1710.2091049900612</v>
      </c>
      <c r="S17" s="90">
        <v>2020</v>
      </c>
      <c r="T17" s="74" t="s">
        <v>10</v>
      </c>
      <c r="U17" s="93">
        <v>274944.58737919992</v>
      </c>
      <c r="V17" s="93">
        <v>698796.73049193597</v>
      </c>
      <c r="W17" s="93">
        <v>341915.17386928597</v>
      </c>
      <c r="X17" s="93">
        <v>737.33929244157446</v>
      </c>
      <c r="Y17" s="94">
        <v>1316393.8310328634</v>
      </c>
      <c r="AA17" s="110">
        <v>2020</v>
      </c>
      <c r="AB17" s="74" t="s">
        <v>10</v>
      </c>
      <c r="AC17" s="94">
        <v>-7.030531269212176</v>
      </c>
      <c r="AE17" s="133" t="s">
        <v>1</v>
      </c>
      <c r="AF17" s="134">
        <f>AVERAGEIF(Quadro_4[Províncias],AE17, Quadro_4[Valores percentuais do preço])</f>
        <v>21.628000424405467</v>
      </c>
      <c r="AG17" s="134">
        <f>AVERAGEIF(Quadro_8[Províncias], AE17, Quadro_8[variação Percentual dp Volume])</f>
        <v>1.920336157516753</v>
      </c>
      <c r="AH17" s="133" t="s">
        <v>84</v>
      </c>
      <c r="AI17" s="2"/>
      <c r="AJ17" s="114" t="s">
        <v>10</v>
      </c>
      <c r="AK17" s="93">
        <v>3089.0281925065569</v>
      </c>
      <c r="AL17" s="123">
        <v>9.1499474361650641</v>
      </c>
      <c r="AN17" s="75" t="s">
        <v>1</v>
      </c>
      <c r="AO17" s="85">
        <v>-7.6831475025241929</v>
      </c>
      <c r="AP17" s="85">
        <v>3.2018820493306777</v>
      </c>
      <c r="AQ17" s="85">
        <v>7.267923715440034</v>
      </c>
      <c r="AR17" s="85">
        <v>0.69788719048079884</v>
      </c>
      <c r="AS17" s="85">
        <v>3.6836985041168049</v>
      </c>
      <c r="AT17" s="85">
        <v>4.3537729882563951</v>
      </c>
      <c r="AU17" s="83">
        <f>(1+Quadro8[[#This Row],[2021]]/100)*(1+Quadro8[[#This Row],[2022]]/100)*(1+Quadro8[[#This Row],[2023]]/100)*(1+Quadro8[[#This Row],[2024]]/100)*(1+Quadro8[[#This Row],[2025]]/100)-1</f>
        <v>0.20613657366405125</v>
      </c>
      <c r="AV17" s="86">
        <f>_xlfn.STDEV.P(Quadro8[[#This Row],[2020]:[2025]])</f>
        <v>4.7079966373318634</v>
      </c>
      <c r="AW17" s="86" t="str">
        <f>IF(Quadro8[[#This Row],[Desvio Padrão]]&lt;=5.86, "Muito Consistente", IF(AND(AV17&gt;5.86, AV17&lt;=7.66), "Consistente", IF(AND(AV17&gt;7.66, AV17&lt;=9.98), "Instável", "Muito instável")))</f>
        <v>Muito Consistente</v>
      </c>
      <c r="AX17" s="86">
        <f>SLOPE(Quadro8[[#This Row],[2020]:[2025]], Modelagem!$AN$4:$AS$4)</f>
        <v>1.5731432940943451</v>
      </c>
    </row>
    <row r="18" spans="2:50" x14ac:dyDescent="0.25">
      <c r="B18" s="90">
        <v>2020</v>
      </c>
      <c r="C18" s="74" t="s">
        <v>57</v>
      </c>
      <c r="D18" s="74" t="s">
        <v>14</v>
      </c>
      <c r="E18" s="94">
        <v>876.30784604281007</v>
      </c>
      <c r="G18" s="90">
        <v>2020</v>
      </c>
      <c r="H18" s="74" t="s">
        <v>7</v>
      </c>
      <c r="I18" s="94">
        <v>1127.2974331360556</v>
      </c>
      <c r="K18" s="108">
        <v>2020</v>
      </c>
      <c r="L18" s="74" t="s">
        <v>7</v>
      </c>
      <c r="M18" s="94">
        <v>23.482887598283227</v>
      </c>
      <c r="O18" s="110">
        <v>2025</v>
      </c>
      <c r="P18" s="74" t="s">
        <v>14</v>
      </c>
      <c r="Q18" s="94">
        <v>1787.5268719680678</v>
      </c>
      <c r="S18" s="90">
        <v>2020</v>
      </c>
      <c r="T18" s="74" t="s">
        <v>7</v>
      </c>
      <c r="U18" s="93">
        <v>646947.58382458054</v>
      </c>
      <c r="V18" s="93">
        <v>147973.6020303503</v>
      </c>
      <c r="W18" s="93">
        <v>596767.13764423446</v>
      </c>
      <c r="X18" s="93">
        <v>331.09875856233327</v>
      </c>
      <c r="Y18" s="94">
        <v>1392019.4222577277</v>
      </c>
      <c r="AA18" s="110">
        <v>2020</v>
      </c>
      <c r="AB18" s="74" t="s">
        <v>7</v>
      </c>
      <c r="AC18" s="94">
        <v>0.79499963682879127</v>
      </c>
      <c r="AE18" t="s">
        <v>14</v>
      </c>
      <c r="AF18" s="132">
        <f>AVERAGEIF(Quadro_4[Províncias],AE18, Quadro_4[Valores percentuais do preço])</f>
        <v>25.065428522139168</v>
      </c>
      <c r="AG18" s="132">
        <f>AVERAGEIF(Quadro_8[Províncias], AE18, Quadro_8[variação Percentual dp Volume])</f>
        <v>2.3601424329658394</v>
      </c>
      <c r="AH18" t="s">
        <v>85</v>
      </c>
      <c r="AI18" s="2"/>
      <c r="AJ18" s="114" t="s">
        <v>11</v>
      </c>
      <c r="AK18" s="93">
        <v>2961.7526344553335</v>
      </c>
      <c r="AL18" s="123">
        <v>0.61942809882651773</v>
      </c>
      <c r="AN18" s="75" t="s">
        <v>14</v>
      </c>
      <c r="AO18" s="85">
        <v>-4.2883749558579467</v>
      </c>
      <c r="AP18" s="85">
        <v>12.990791440895876</v>
      </c>
      <c r="AQ18" s="85">
        <v>-2.1702500741427713</v>
      </c>
      <c r="AR18" s="85">
        <v>-1.2348339859541824</v>
      </c>
      <c r="AS18" s="85">
        <v>-0.79491745192856911</v>
      </c>
      <c r="AT18" s="85">
        <v>9.6584396247826305</v>
      </c>
      <c r="AU18" s="83">
        <f>(1+Quadro8[[#This Row],[2021]]/100)*(1+Quadro8[[#This Row],[2022]]/100)*(1+Quadro8[[#This Row],[2023]]/100)*(1+Quadro8[[#This Row],[2024]]/100)*(1+Quadro8[[#This Row],[2025]]/100)-1</f>
        <v>0.18766450388172484</v>
      </c>
      <c r="AV18" s="86">
        <f>_xlfn.STDEV.P(Quadro8[[#This Row],[2020]:[2025]])</f>
        <v>6.504887115311889</v>
      </c>
      <c r="AW18" s="86" t="str">
        <f>IF(Quadro8[[#This Row],[Desvio Padrão]]&lt;=5.86, "Muito Consistente", IF(AND(AV18&gt;5.86, AV18&lt;=7.66), "Consistente", IF(AND(AV18&gt;7.66, AV18&lt;=9.98), "Instável", "Muito instável")))</f>
        <v>Consistente</v>
      </c>
      <c r="AX18" s="86">
        <f>SLOPE(Quadro8[[#This Row],[2020]:[2025]], Modelagem!$AN$4:$AS$4)</f>
        <v>0.83749606608337546</v>
      </c>
    </row>
    <row r="19" spans="2:50" x14ac:dyDescent="0.25">
      <c r="B19" s="90">
        <v>2020</v>
      </c>
      <c r="C19" s="74" t="s">
        <v>57</v>
      </c>
      <c r="D19" s="74" t="s">
        <v>15</v>
      </c>
      <c r="E19" s="94">
        <v>730.28747137368339</v>
      </c>
      <c r="G19" s="90">
        <v>2020</v>
      </c>
      <c r="H19" s="74" t="s">
        <v>12</v>
      </c>
      <c r="I19" s="94">
        <v>736.91044801968724</v>
      </c>
      <c r="K19" s="108">
        <v>2020</v>
      </c>
      <c r="L19" s="74" t="s">
        <v>12</v>
      </c>
      <c r="M19" s="94">
        <v>22.208170621865648</v>
      </c>
      <c r="O19" s="110">
        <v>2025</v>
      </c>
      <c r="P19" s="74" t="s">
        <v>11</v>
      </c>
      <c r="Q19" s="94">
        <v>1677.2867956127134</v>
      </c>
      <c r="S19" s="90">
        <v>2020</v>
      </c>
      <c r="T19" s="74" t="s">
        <v>12</v>
      </c>
      <c r="U19" s="93">
        <v>375192.89439659496</v>
      </c>
      <c r="V19" s="93">
        <v>136394.52160981306</v>
      </c>
      <c r="W19" s="93">
        <v>388614.58454440796</v>
      </c>
      <c r="X19" s="93">
        <v>362.77709543777445</v>
      </c>
      <c r="Y19" s="94">
        <v>900564.77764625382</v>
      </c>
      <c r="AA19" s="110">
        <v>2020</v>
      </c>
      <c r="AB19" s="74" t="s">
        <v>12</v>
      </c>
      <c r="AC19" s="94">
        <v>-7.2632081110476463</v>
      </c>
      <c r="AE19" t="s">
        <v>10</v>
      </c>
      <c r="AF19" s="132">
        <f>AVERAGEIF(Quadro_4[Províncias],AE19, Quadro_4[Valores percentuais do preço])</f>
        <v>24.882234284018924</v>
      </c>
      <c r="AG19" s="132">
        <f>AVERAGEIF(Quadro_8[Províncias], AE19, Quadro_8[variação Percentual dp Volume])</f>
        <v>1.0440688950454746</v>
      </c>
      <c r="AH19" t="s">
        <v>86</v>
      </c>
      <c r="AI19" s="2"/>
      <c r="AJ19" s="114" t="s">
        <v>12</v>
      </c>
      <c r="AK19" s="93">
        <v>2732.118369571519</v>
      </c>
      <c r="AL19" s="123">
        <v>4.945382270264929</v>
      </c>
      <c r="AN19" s="75" t="s">
        <v>10</v>
      </c>
      <c r="AO19" s="85">
        <v>-7.030531269212176</v>
      </c>
      <c r="AP19" s="85">
        <v>4.0562931485703899</v>
      </c>
      <c r="AQ19" s="85">
        <v>-8.5767474915567732</v>
      </c>
      <c r="AR19" s="85">
        <v>14.869773412061903</v>
      </c>
      <c r="AS19" s="85">
        <v>-6.2043218657555599</v>
      </c>
      <c r="AT19" s="85">
        <v>9.1499474361650641</v>
      </c>
      <c r="AU19" s="83">
        <f>(1+Quadro8[[#This Row],[2021]]/100)*(1+Quadro8[[#This Row],[2022]]/100)*(1+Quadro8[[#This Row],[2023]]/100)*(1+Quadro8[[#This Row],[2024]]/100)*(1+Quadro8[[#This Row],[2025]]/100)-1</f>
        <v>0.11876054425340143</v>
      </c>
      <c r="AV19" s="86">
        <f>_xlfn.STDEV.P(Quadro8[[#This Row],[2020]:[2025]])</f>
        <v>8.9090526212327514</v>
      </c>
      <c r="AW19" s="86" t="str">
        <f>IF(Quadro8[[#This Row],[Desvio Padrão]]&lt;=5.86, "Muito Consistente", IF(AND(AV19&gt;5.86, AV19&lt;=7.66), "Consistente", IF(AND(AV19&gt;7.66, AV19&lt;=9.98), "Instável", "Muito instável")))</f>
        <v>Instável</v>
      </c>
      <c r="AX19" s="86">
        <f>SLOPE(Quadro8[[#This Row],[2020]:[2025]], Modelagem!$AN$4:$AS$4)</f>
        <v>2.1019162682150578</v>
      </c>
    </row>
    <row r="20" spans="2:50" x14ac:dyDescent="0.25">
      <c r="B20" s="90">
        <v>2020</v>
      </c>
      <c r="C20" s="74" t="s">
        <v>56</v>
      </c>
      <c r="D20" s="74" t="s">
        <v>16</v>
      </c>
      <c r="E20" s="94">
        <v>484.04654264863325</v>
      </c>
      <c r="G20" s="90">
        <v>2020</v>
      </c>
      <c r="H20" s="74" t="s">
        <v>16</v>
      </c>
      <c r="I20" s="94">
        <v>414.73561193636453</v>
      </c>
      <c r="K20" s="108">
        <v>2020</v>
      </c>
      <c r="L20" s="74" t="s">
        <v>16</v>
      </c>
      <c r="M20" s="94">
        <v>16.712076011187449</v>
      </c>
      <c r="O20" s="110">
        <v>2025</v>
      </c>
      <c r="P20" s="74" t="s">
        <v>9</v>
      </c>
      <c r="Q20" s="94">
        <v>1221.4650147316465</v>
      </c>
      <c r="S20" s="90">
        <v>2020</v>
      </c>
      <c r="T20" s="74" t="s">
        <v>16</v>
      </c>
      <c r="U20" s="93">
        <v>70452.778387253231</v>
      </c>
      <c r="V20" s="93">
        <v>197647.27068259614</v>
      </c>
      <c r="W20" s="93">
        <v>210480.51872178382</v>
      </c>
      <c r="X20" s="93">
        <v>5465.9748570001257</v>
      </c>
      <c r="Y20" s="94">
        <v>484046.5426486333</v>
      </c>
      <c r="AA20" s="110">
        <v>2020</v>
      </c>
      <c r="AB20" s="74" t="s">
        <v>16</v>
      </c>
      <c r="AC20" s="94">
        <v>-15.519898921575574</v>
      </c>
      <c r="AE20" t="s">
        <v>7</v>
      </c>
      <c r="AF20" s="132">
        <f>AVERAGEIF(Quadro_4[Províncias],AE20, Quadro_4[Valores percentuais do preço])</f>
        <v>28.124822383501428</v>
      </c>
      <c r="AG20" s="132">
        <f>AVERAGEIF(Quadro_8[Províncias], AE20, Quadro_8[variação Percentual dp Volume])</f>
        <v>3.9486141619951618</v>
      </c>
      <c r="AH20" t="s">
        <v>85</v>
      </c>
      <c r="AI20" s="2"/>
      <c r="AJ20" s="114" t="s">
        <v>13</v>
      </c>
      <c r="AK20" s="93">
        <v>2363.2178981850957</v>
      </c>
      <c r="AL20" s="123">
        <v>4.6579291994335961</v>
      </c>
      <c r="AN20" s="75" t="s">
        <v>7</v>
      </c>
      <c r="AO20" s="85">
        <v>0.79499963682879127</v>
      </c>
      <c r="AP20" s="85">
        <v>11.539966377946314</v>
      </c>
      <c r="AQ20" s="85">
        <v>-10.850431962858821</v>
      </c>
      <c r="AR20" s="85">
        <v>14.471641082508356</v>
      </c>
      <c r="AS20" s="85">
        <v>1.826370509662496</v>
      </c>
      <c r="AT20" s="85">
        <v>5.9091393278838353</v>
      </c>
      <c r="AU20" s="83">
        <f>(1+Quadro8[[#This Row],[2021]]/100)*(1+Quadro8[[#This Row],[2022]]/100)*(1+Quadro8[[#This Row],[2023]]/100)*(1+Quadro8[[#This Row],[2024]]/100)*(1+Quadro8[[#This Row],[2025]]/100)-1</f>
        <v>0.22755614383183964</v>
      </c>
      <c r="AV20" s="86">
        <f>_xlfn.STDEV.P(Quadro8[[#This Row],[2020]:[2025]])</f>
        <v>8.2226045332497595</v>
      </c>
      <c r="AW20" s="86" t="str">
        <f>IF(Quadro8[[#This Row],[Desvio Padrão]]&lt;=5.86, "Muito Consistente", IF(AND(AV20&gt;5.86, AV20&lt;=7.66), "Consistente", IF(AND(AV20&gt;7.66, AV20&lt;=9.98), "Instável", "Muito instável")))</f>
        <v>Instável</v>
      </c>
      <c r="AX20" s="86">
        <f>SLOPE(Quadro8[[#This Row],[2020]:[2025]], Modelagem!$AN$4:$AS$4)</f>
        <v>0.62148525416545553</v>
      </c>
    </row>
    <row r="21" spans="2:50" x14ac:dyDescent="0.25">
      <c r="B21" s="90">
        <v>2020</v>
      </c>
      <c r="C21" s="74" t="s">
        <v>57</v>
      </c>
      <c r="D21" s="74" t="s">
        <v>17</v>
      </c>
      <c r="E21" s="94">
        <v>365.25964264467308</v>
      </c>
      <c r="G21" s="90">
        <v>2020</v>
      </c>
      <c r="H21" s="74" t="s">
        <v>4</v>
      </c>
      <c r="I21" s="94">
        <v>1644.4463211696827</v>
      </c>
      <c r="K21" s="108">
        <v>2020</v>
      </c>
      <c r="L21" s="74" t="s">
        <v>4</v>
      </c>
      <c r="M21" s="94">
        <v>23.064270308718321</v>
      </c>
      <c r="O21" s="110">
        <v>2025</v>
      </c>
      <c r="P21" s="74" t="s">
        <v>18</v>
      </c>
      <c r="Q21" s="94">
        <v>1051.6222740795661</v>
      </c>
      <c r="S21" s="90">
        <v>2020</v>
      </c>
      <c r="T21" s="74" t="s">
        <v>4</v>
      </c>
      <c r="U21" s="93">
        <v>930449.98296959489</v>
      </c>
      <c r="V21" s="93">
        <v>254879.62098382507</v>
      </c>
      <c r="W21" s="93">
        <v>838211.40412112814</v>
      </c>
      <c r="X21" s="93">
        <v>184.85769148525142</v>
      </c>
      <c r="Y21" s="94">
        <v>2023725.8657660333</v>
      </c>
      <c r="AA21" s="110">
        <v>2020</v>
      </c>
      <c r="AB21" s="74" t="s">
        <v>4</v>
      </c>
      <c r="AC21" s="94">
        <v>0.36032467107764887</v>
      </c>
      <c r="AE21" t="s">
        <v>12</v>
      </c>
      <c r="AF21" s="132">
        <f>AVERAGEIF(Quadro_4[Províncias],AE21, Quadro_4[Valores percentuais do preço])</f>
        <v>26.217995831090921</v>
      </c>
      <c r="AG21" s="132">
        <f>AVERAGEIF(Quadro_8[Províncias], AE21, Quadro_8[variação Percentual dp Volume])</f>
        <v>2.8844322871290231</v>
      </c>
      <c r="AH21" t="s">
        <v>85</v>
      </c>
      <c r="AI21" s="2"/>
      <c r="AJ21" s="114" t="s">
        <v>14</v>
      </c>
      <c r="AK21" s="93">
        <v>2298.7130477297496</v>
      </c>
      <c r="AL21" s="123">
        <v>9.6584396247826305</v>
      </c>
      <c r="AN21" s="75" t="s">
        <v>12</v>
      </c>
      <c r="AO21" s="85">
        <v>-7.2632081110476463</v>
      </c>
      <c r="AP21" s="85">
        <v>18.245728687716081</v>
      </c>
      <c r="AQ21" s="85">
        <v>3.5210514083542108</v>
      </c>
      <c r="AR21" s="85">
        <v>-4.8887417720534501</v>
      </c>
      <c r="AS21" s="85">
        <v>2.746381239540014</v>
      </c>
      <c r="AT21" s="85">
        <v>4.945382270264929</v>
      </c>
      <c r="AU21" s="83">
        <f>(1+Quadro8[[#This Row],[2021]]/100)*(1+Quadro8[[#This Row],[2022]]/100)*(1+Quadro8[[#This Row],[2023]]/100)*(1+Quadro8[[#This Row],[2024]]/100)*(1+Quadro8[[#This Row],[2025]]/100)-1</f>
        <v>0.25538209982453486</v>
      </c>
      <c r="AV21" s="86">
        <f>_xlfn.STDEV.P(Quadro8[[#This Row],[2020]:[2025]])</f>
        <v>8.2060762501736182</v>
      </c>
      <c r="AW21" s="86" t="str">
        <f>IF(Quadro8[[#This Row],[Desvio Padrão]]&lt;=5.86, "Muito Consistente", IF(AND(AV21&gt;5.86, AV21&lt;=7.66), "Consistente", IF(AND(AV21&gt;7.66, AV21&lt;=9.98), "Instável", "Muito instável")))</f>
        <v>Instável</v>
      </c>
      <c r="AX21" s="86">
        <f>SLOPE(Quadro8[[#This Row],[2020]:[2025]], Modelagem!$AN$4:$AS$4)</f>
        <v>0.17528903947505756</v>
      </c>
    </row>
    <row r="22" spans="2:50" x14ac:dyDescent="0.25">
      <c r="B22" s="90">
        <v>2020</v>
      </c>
      <c r="C22" s="74" t="s">
        <v>57</v>
      </c>
      <c r="D22" s="74" t="s">
        <v>18</v>
      </c>
      <c r="E22" s="94">
        <v>281.86732263988836</v>
      </c>
      <c r="G22" s="90">
        <v>2020</v>
      </c>
      <c r="H22" s="74" t="s">
        <v>2</v>
      </c>
      <c r="I22" s="94">
        <v>6545.8300283969611</v>
      </c>
      <c r="K22" s="108">
        <v>2020</v>
      </c>
      <c r="L22" s="74" t="s">
        <v>2</v>
      </c>
      <c r="M22" s="94">
        <v>0.5929295490402211</v>
      </c>
      <c r="O22" s="111">
        <v>2025</v>
      </c>
      <c r="P22" s="95" t="s">
        <v>17</v>
      </c>
      <c r="Q22" s="97">
        <v>564.36707315913623</v>
      </c>
      <c r="S22" s="90">
        <v>2020</v>
      </c>
      <c r="T22" s="74" t="s">
        <v>2</v>
      </c>
      <c r="U22" s="93">
        <v>93426.049987028833</v>
      </c>
      <c r="V22" s="93">
        <v>6340740.1482054843</v>
      </c>
      <c r="W22" s="93">
        <v>148905.68416089518</v>
      </c>
      <c r="X22" s="93">
        <v>1570.306511866866</v>
      </c>
      <c r="Y22" s="94">
        <v>6584642.1888652751</v>
      </c>
      <c r="AA22" s="110">
        <v>2020</v>
      </c>
      <c r="AB22" s="74" t="s">
        <v>2</v>
      </c>
      <c r="AC22" s="94">
        <v>-6.6429888426169867</v>
      </c>
      <c r="AE22" t="s">
        <v>16</v>
      </c>
      <c r="AF22" s="132">
        <f>AVERAGEIF(Quadro_4[Províncias],AE22, Quadro_4[Valores percentuais do preço])</f>
        <v>20.886756693746559</v>
      </c>
      <c r="AG22" s="132">
        <f>AVERAGEIF(Quadro_8[Províncias], AE22, Quadro_8[variação Percentual dp Volume])</f>
        <v>1.5839737633507152</v>
      </c>
      <c r="AH22" t="s">
        <v>87</v>
      </c>
      <c r="AI22" s="2"/>
      <c r="AJ22" s="114" t="s">
        <v>15</v>
      </c>
      <c r="AK22" s="93">
        <v>2249.4470333874729</v>
      </c>
      <c r="AL22" s="123">
        <v>3.1828773544109197</v>
      </c>
      <c r="AN22" s="75" t="s">
        <v>16</v>
      </c>
      <c r="AO22" s="85">
        <v>-15.519898921575574</v>
      </c>
      <c r="AP22" s="85">
        <v>3.3666192721658206</v>
      </c>
      <c r="AQ22" s="85">
        <v>-18.119794735164646</v>
      </c>
      <c r="AR22" s="85">
        <v>18.884011350314182</v>
      </c>
      <c r="AS22" s="85">
        <v>18.270230983513287</v>
      </c>
      <c r="AT22" s="85">
        <v>2.6226746308512219</v>
      </c>
      <c r="AU22" s="83">
        <f>(1+Quadro8[[#This Row],[2021]]/100)*(1+Quadro8[[#This Row],[2022]]/100)*(1+Quadro8[[#This Row],[2023]]/100)*(1+Quadro8[[#This Row],[2024]]/100)*(1+Quadro8[[#This Row],[2025]]/100)-1</f>
        <v>0.22124123567646503</v>
      </c>
      <c r="AV22" s="86">
        <f>_xlfn.STDEV.P(Quadro8[[#This Row],[2020]:[2025]])</f>
        <v>14.507240484756082</v>
      </c>
      <c r="AW22" s="86" t="str">
        <f>IF(Quadro8[[#This Row],[Desvio Padrão]]&lt;=5.86, "Muito Consistente", IF(AND(AV22&gt;5.86, AV22&lt;=7.66), "Consistente", IF(AND(AV22&gt;7.66, AV22&lt;=9.98), "Instável", "Muito instável")))</f>
        <v>Muito instável</v>
      </c>
      <c r="AX22" s="86">
        <f>SLOPE(Quadro8[[#This Row],[2020]:[2025]], Modelagem!$AN$4:$AS$4)</f>
        <v>4.9265002566187199</v>
      </c>
    </row>
    <row r="23" spans="2:50" x14ac:dyDescent="0.25">
      <c r="B23" s="90">
        <v>2021</v>
      </c>
      <c r="C23" s="74" t="s">
        <v>56</v>
      </c>
      <c r="D23" s="74" t="s">
        <v>1</v>
      </c>
      <c r="E23" s="94">
        <v>15779.8924022547</v>
      </c>
      <c r="G23" s="90">
        <v>2021</v>
      </c>
      <c r="H23" s="74" t="s">
        <v>15</v>
      </c>
      <c r="I23" s="94">
        <v>730.94131202085805</v>
      </c>
      <c r="K23" s="108">
        <v>2021</v>
      </c>
      <c r="L23" s="74" t="s">
        <v>15</v>
      </c>
      <c r="M23" s="94">
        <v>29.377964445349875</v>
      </c>
      <c r="S23" s="101">
        <v>2021</v>
      </c>
      <c r="T23" s="74" t="s">
        <v>15</v>
      </c>
      <c r="U23" s="93">
        <v>385939.50696277496</v>
      </c>
      <c r="V23" s="93">
        <v>201416.85378375219</v>
      </c>
      <c r="W23" s="93">
        <v>356810.17288491869</v>
      </c>
      <c r="X23" s="93">
        <v>1510.4571512734822</v>
      </c>
      <c r="Y23" s="94">
        <v>945676.99078271934</v>
      </c>
      <c r="AA23" s="110">
        <v>2021</v>
      </c>
      <c r="AB23" s="74" t="s">
        <v>15</v>
      </c>
      <c r="AC23" s="94">
        <v>8.9531954580124307E-2</v>
      </c>
      <c r="AE23" t="s">
        <v>4</v>
      </c>
      <c r="AF23" s="132">
        <f>AVERAGEIF(Quadro_4[Províncias],AE23, Quadro_4[Valores percentuais do preço])</f>
        <v>28.017120826045897</v>
      </c>
      <c r="AG23" s="132">
        <f>AVERAGEIF(Quadro_8[Províncias], AE23, Quadro_8[variação Percentual dp Volume])</f>
        <v>2.9618228788868586</v>
      </c>
      <c r="AH23" t="s">
        <v>85</v>
      </c>
      <c r="AJ23" s="114" t="s">
        <v>16</v>
      </c>
      <c r="AK23" s="93">
        <v>1263.378045821421</v>
      </c>
      <c r="AL23" s="123">
        <v>2.6226746308512219</v>
      </c>
      <c r="AN23" s="75" t="s">
        <v>4</v>
      </c>
      <c r="AO23" s="85">
        <v>0.36032467107764887</v>
      </c>
      <c r="AP23" s="85">
        <v>6.2518826014626256</v>
      </c>
      <c r="AQ23" s="85">
        <v>2.4651502015622668</v>
      </c>
      <c r="AR23" s="85">
        <v>-1.8302054000441217</v>
      </c>
      <c r="AS23" s="85">
        <v>4.2434677873550868</v>
      </c>
      <c r="AT23" s="85">
        <v>6.2803174119076459</v>
      </c>
      <c r="AU23" s="83">
        <f>(1+Quadro8[[#This Row],[2021]]/100)*(1+Quadro8[[#This Row],[2022]]/100)*(1+Quadro8[[#This Row],[2023]]/100)*(1+Quadro8[[#This Row],[2024]]/100)*(1+Quadro8[[#This Row],[2025]]/100)-1</f>
        <v>0.18411093065687312</v>
      </c>
      <c r="AV23" s="86">
        <f>_xlfn.STDEV.P(Quadro8[[#This Row],[2020]:[2025]])</f>
        <v>2.9848931950438984</v>
      </c>
      <c r="AW23" s="86" t="str">
        <f>IF(Quadro8[[#This Row],[Desvio Padrão]]&lt;=5.86, "Muito Consistente", IF(AND(AV23&gt;5.86, AV23&lt;=7.66), "Consistente", IF(AND(AV23&gt;7.66, AV23&lt;=9.98), "Instável", "Muito instável")))</f>
        <v>Muito Consistente</v>
      </c>
      <c r="AX23" s="86">
        <f>SLOPE(Quadro8[[#This Row],[2020]:[2025]], Modelagem!$AN$4:$AS$4)</f>
        <v>0.55083896172059943</v>
      </c>
    </row>
    <row r="24" spans="2:50" x14ac:dyDescent="0.25">
      <c r="B24" s="90">
        <v>2021</v>
      </c>
      <c r="C24" s="74" t="s">
        <v>56</v>
      </c>
      <c r="D24" s="74" t="s">
        <v>2</v>
      </c>
      <c r="E24" s="94">
        <v>10807.481526032647</v>
      </c>
      <c r="G24" s="90">
        <v>2021</v>
      </c>
      <c r="H24" s="74" t="s">
        <v>3</v>
      </c>
      <c r="I24" s="94">
        <v>2163.1089986261145</v>
      </c>
      <c r="K24" s="108">
        <v>2021</v>
      </c>
      <c r="L24" s="74" t="s">
        <v>3</v>
      </c>
      <c r="M24" s="94">
        <v>26.449634687788077</v>
      </c>
      <c r="S24" s="101">
        <v>2021</v>
      </c>
      <c r="T24" s="74" t="s">
        <v>3</v>
      </c>
      <c r="U24" s="93">
        <v>665212.84434777312</v>
      </c>
      <c r="V24" s="93">
        <v>625332.61140769173</v>
      </c>
      <c r="W24" s="93">
        <v>1428447.6070136621</v>
      </c>
      <c r="X24" s="93">
        <v>16250.36389226457</v>
      </c>
      <c r="Y24" s="94">
        <v>2735243.4266613917</v>
      </c>
      <c r="AA24" s="110">
        <v>2021</v>
      </c>
      <c r="AB24" s="74" t="s">
        <v>3</v>
      </c>
      <c r="AC24" s="94">
        <v>3.552561913987347</v>
      </c>
      <c r="AE24" t="s">
        <v>2</v>
      </c>
      <c r="AF24" s="132">
        <f>AVERAGEIF(Quadro_4[Províncias],AE24, Quadro_4[Valores percentuais do preço])</f>
        <v>21.023551114095763</v>
      </c>
      <c r="AG24" s="132">
        <f>AVERAGEIF(Quadro_8[Províncias], AE24, Quadro_8[variação Percentual dp Volume])</f>
        <v>-0.69032396944178009</v>
      </c>
      <c r="AH24" t="s">
        <v>87</v>
      </c>
      <c r="AJ24" s="114" t="s">
        <v>17</v>
      </c>
      <c r="AK24" s="93">
        <v>831.51133803369828</v>
      </c>
      <c r="AL24" s="123">
        <v>9.096407981927058</v>
      </c>
      <c r="AN24" s="75" t="s">
        <v>2</v>
      </c>
      <c r="AO24" s="85">
        <v>-6.6429888426169867</v>
      </c>
      <c r="AP24" s="85">
        <v>-9.3427678148852067</v>
      </c>
      <c r="AQ24" s="85">
        <v>8.3300697191907318</v>
      </c>
      <c r="AR24" s="85">
        <v>-3.0998965077658056</v>
      </c>
      <c r="AS24" s="85">
        <v>6.8020998642966219</v>
      </c>
      <c r="AT24" s="85">
        <v>-0.18846023487003549</v>
      </c>
      <c r="AU24" s="83">
        <f>(1+Quadro8[[#This Row],[2021]]/100)*(1+Quadro8[[#This Row],[2022]]/100)*(1+Quadro8[[#This Row],[2023]]/100)*(1+Quadro8[[#This Row],[2024]]/100)*(1+Quadro8[[#This Row],[2025]]/100)-1</f>
        <v>1.4463126840948526E-2</v>
      </c>
      <c r="AV24" s="86">
        <f>_xlfn.STDEV.P(Quadro8[[#This Row],[2020]:[2025]])</f>
        <v>6.5046243527035168</v>
      </c>
      <c r="AW24" s="86" t="str">
        <f>IF(Quadro8[[#This Row],[Desvio Padrão]]&lt;=5.86, "Muito Consistente", IF(AND(AV24&gt;5.86, AV24&lt;=7.66), "Consistente", IF(AND(AV24&gt;7.66, AV24&lt;=9.98), "Instável", "Muito instável")))</f>
        <v>Consistente</v>
      </c>
      <c r="AX24" s="86">
        <f>SLOPE(Quadro8[[#This Row],[2020]:[2025]], Modelagem!$AN$4:$AS$4)</f>
        <v>1.9793508528378201</v>
      </c>
    </row>
    <row r="25" spans="2:50" ht="15.75" thickBot="1" x14ac:dyDescent="0.3">
      <c r="B25" s="90">
        <v>2021</v>
      </c>
      <c r="C25" s="74" t="s">
        <v>56</v>
      </c>
      <c r="D25" s="74" t="s">
        <v>3</v>
      </c>
      <c r="E25" s="94">
        <v>2735.2434266613923</v>
      </c>
      <c r="G25" s="90">
        <v>2021</v>
      </c>
      <c r="H25" s="74" t="s">
        <v>11</v>
      </c>
      <c r="I25" s="94">
        <v>1016.0052075463324</v>
      </c>
      <c r="K25" s="108">
        <v>2021</v>
      </c>
      <c r="L25" s="74" t="s">
        <v>11</v>
      </c>
      <c r="M25" s="94">
        <v>29.253016042682844</v>
      </c>
      <c r="S25" s="101">
        <v>2021</v>
      </c>
      <c r="T25" s="74" t="s">
        <v>11</v>
      </c>
      <c r="U25" s="93">
        <v>565426.18566043698</v>
      </c>
      <c r="V25" s="93">
        <v>119576.58307519781</v>
      </c>
      <c r="W25" s="93">
        <v>628050.23091210495</v>
      </c>
      <c r="X25" s="93">
        <v>164.37425661463632</v>
      </c>
      <c r="Y25" s="94">
        <v>1313217.3739043544</v>
      </c>
      <c r="AA25" s="110">
        <v>2021</v>
      </c>
      <c r="AB25" s="74" t="s">
        <v>11</v>
      </c>
      <c r="AC25" s="94">
        <v>17.15200954873022</v>
      </c>
      <c r="AE25" s="80"/>
      <c r="AF25" s="80"/>
      <c r="AJ25" s="115" t="s">
        <v>18</v>
      </c>
      <c r="AK25" s="124">
        <v>630.78912361749963</v>
      </c>
      <c r="AL25" s="125">
        <v>0.61940509312709935</v>
      </c>
    </row>
    <row r="26" spans="2:50" x14ac:dyDescent="0.25">
      <c r="B26" s="90">
        <v>2021</v>
      </c>
      <c r="C26" s="74" t="s">
        <v>57</v>
      </c>
      <c r="D26" s="74" t="s">
        <v>4</v>
      </c>
      <c r="E26" s="94">
        <v>2818.807135723614</v>
      </c>
      <c r="G26" s="90">
        <v>2021</v>
      </c>
      <c r="H26" s="74" t="s">
        <v>5</v>
      </c>
      <c r="I26" s="94">
        <v>2194.447931495084</v>
      </c>
      <c r="K26" s="108">
        <v>2021</v>
      </c>
      <c r="L26" s="74" t="s">
        <v>5</v>
      </c>
      <c r="M26" s="94">
        <v>58.994297950029306</v>
      </c>
      <c r="S26" s="101">
        <v>2021</v>
      </c>
      <c r="T26" s="74" t="s">
        <v>5</v>
      </c>
      <c r="U26" s="93">
        <v>281533.84884651238</v>
      </c>
      <c r="V26" s="93">
        <v>2543107.2661275365</v>
      </c>
      <c r="W26" s="93">
        <v>660679.10783393844</v>
      </c>
      <c r="X26" s="93">
        <v>3726.8597515609231</v>
      </c>
      <c r="Y26" s="94">
        <v>3489047.0825595483</v>
      </c>
      <c r="AA26" s="110">
        <v>2021</v>
      </c>
      <c r="AB26" s="74" t="s">
        <v>5</v>
      </c>
      <c r="AC26" s="94">
        <v>-17.155268485348017</v>
      </c>
      <c r="AE26" s="112"/>
      <c r="AF26" s="132"/>
    </row>
    <row r="27" spans="2:50" x14ac:dyDescent="0.25">
      <c r="B27" s="90">
        <v>2021</v>
      </c>
      <c r="C27" s="74" t="s">
        <v>56</v>
      </c>
      <c r="D27" s="74" t="s">
        <v>5</v>
      </c>
      <c r="E27" s="94">
        <v>3489.0470825595489</v>
      </c>
      <c r="G27" s="90">
        <v>2021</v>
      </c>
      <c r="H27" s="74" t="s">
        <v>18</v>
      </c>
      <c r="I27" s="94">
        <v>340.20385931513738</v>
      </c>
      <c r="K27" s="108">
        <v>2021</v>
      </c>
      <c r="L27" s="74" t="s">
        <v>18</v>
      </c>
      <c r="M27" s="94">
        <v>20.646757469408826</v>
      </c>
      <c r="S27" s="101">
        <v>2021</v>
      </c>
      <c r="T27" s="74" t="s">
        <v>18</v>
      </c>
      <c r="U27" s="93">
        <v>53810.933841023434</v>
      </c>
      <c r="V27" s="93">
        <v>165231.03387506207</v>
      </c>
      <c r="W27" s="93">
        <v>191273.45913249374</v>
      </c>
      <c r="X27" s="93">
        <v>129.49820092324043</v>
      </c>
      <c r="Y27" s="94">
        <v>410444.92504950246</v>
      </c>
      <c r="AA27" s="110">
        <v>2021</v>
      </c>
      <c r="AB27" s="74" t="s">
        <v>18</v>
      </c>
      <c r="AC27" s="94">
        <v>20.696452546852797</v>
      </c>
      <c r="AE27" s="112"/>
      <c r="AF27" s="132"/>
    </row>
    <row r="28" spans="2:50" x14ac:dyDescent="0.25">
      <c r="B28" s="90">
        <v>2021</v>
      </c>
      <c r="C28" s="74" t="s">
        <v>56</v>
      </c>
      <c r="D28" s="74" t="s">
        <v>6</v>
      </c>
      <c r="E28" s="94">
        <v>2609.8160522183839</v>
      </c>
      <c r="G28" s="90">
        <v>2021</v>
      </c>
      <c r="H28" s="74" t="s">
        <v>13</v>
      </c>
      <c r="I28" s="94">
        <v>884.22951448010087</v>
      </c>
      <c r="K28" s="108">
        <v>2021</v>
      </c>
      <c r="L28" s="74" t="s">
        <v>13</v>
      </c>
      <c r="M28" s="94">
        <v>28.507894985451173</v>
      </c>
      <c r="S28" s="101">
        <v>2021</v>
      </c>
      <c r="T28" s="74" t="s">
        <v>13</v>
      </c>
      <c r="U28" s="93">
        <v>388243.86807039252</v>
      </c>
      <c r="V28" s="93">
        <v>178503.03595959223</v>
      </c>
      <c r="W28" s="93">
        <v>569180.72033355618</v>
      </c>
      <c r="X28" s="93">
        <v>377.1115349123321</v>
      </c>
      <c r="Y28" s="94">
        <v>1136304.7358984533</v>
      </c>
      <c r="AA28" s="110">
        <v>2021</v>
      </c>
      <c r="AB28" s="74" t="s">
        <v>13</v>
      </c>
      <c r="AC28" s="94">
        <v>10.643558100177387</v>
      </c>
    </row>
    <row r="29" spans="2:50" x14ac:dyDescent="0.25">
      <c r="B29" s="90">
        <v>2021</v>
      </c>
      <c r="C29" s="74" t="s">
        <v>57</v>
      </c>
      <c r="D29" s="74" t="s">
        <v>7</v>
      </c>
      <c r="E29" s="94">
        <v>2034.3654005322912</v>
      </c>
      <c r="G29" s="90">
        <v>2021</v>
      </c>
      <c r="H29" s="74" t="s">
        <v>6</v>
      </c>
      <c r="I29" s="94">
        <v>2011.5919108968571</v>
      </c>
      <c r="K29" s="108">
        <v>2021</v>
      </c>
      <c r="L29" s="74" t="s">
        <v>6</v>
      </c>
      <c r="M29" s="94">
        <v>29.738842062394866</v>
      </c>
      <c r="S29" s="101">
        <v>2021</v>
      </c>
      <c r="T29" s="74" t="s">
        <v>6</v>
      </c>
      <c r="U29" s="93">
        <v>1030746.3604140263</v>
      </c>
      <c r="V29" s="93">
        <v>587761.96390252595</v>
      </c>
      <c r="W29" s="93">
        <v>990618.72632135579</v>
      </c>
      <c r="X29" s="93">
        <v>689.00158047652599</v>
      </c>
      <c r="Y29" s="94">
        <v>2609816.0522183846</v>
      </c>
      <c r="AA29" s="110">
        <v>2021</v>
      </c>
      <c r="AB29" s="74" t="s">
        <v>6</v>
      </c>
      <c r="AC29" s="94">
        <v>0.57169202803105179</v>
      </c>
    </row>
    <row r="30" spans="2:50" x14ac:dyDescent="0.25">
      <c r="B30" s="90">
        <v>2021</v>
      </c>
      <c r="C30" s="74" t="s">
        <v>57</v>
      </c>
      <c r="D30" s="74" t="s">
        <v>8</v>
      </c>
      <c r="E30" s="94">
        <v>1678.1272615420223</v>
      </c>
      <c r="G30" s="90">
        <v>2021</v>
      </c>
      <c r="H30" s="74" t="s">
        <v>17</v>
      </c>
      <c r="I30" s="94">
        <v>415.80662936945697</v>
      </c>
      <c r="K30" s="108">
        <v>2021</v>
      </c>
      <c r="L30" s="74" t="s">
        <v>17</v>
      </c>
      <c r="M30" s="94">
        <v>18.400101897923136</v>
      </c>
      <c r="S30" s="101">
        <v>2021</v>
      </c>
      <c r="T30" s="74" t="s">
        <v>17</v>
      </c>
      <c r="U30" s="93">
        <v>18302.724206964533</v>
      </c>
      <c r="V30" s="93">
        <v>245093.76417821125</v>
      </c>
      <c r="W30" s="93">
        <v>221319.18705573704</v>
      </c>
      <c r="X30" s="93">
        <v>7599.797430843787</v>
      </c>
      <c r="Y30" s="94">
        <v>492315.47287175665</v>
      </c>
      <c r="AA30" s="110">
        <v>2021</v>
      </c>
      <c r="AB30" s="74" t="s">
        <v>17</v>
      </c>
      <c r="AC30" s="94">
        <v>13.83864539722947</v>
      </c>
      <c r="AE30" s="80"/>
      <c r="AF30" s="80"/>
    </row>
    <row r="31" spans="2:50" x14ac:dyDescent="0.25">
      <c r="B31" s="90">
        <v>2021</v>
      </c>
      <c r="C31" s="74" t="s">
        <v>57</v>
      </c>
      <c r="D31" s="74" t="s">
        <v>9</v>
      </c>
      <c r="E31" s="94">
        <v>1372.4612713498736</v>
      </c>
      <c r="G31" s="90">
        <v>2021</v>
      </c>
      <c r="H31" s="74" t="s">
        <v>8</v>
      </c>
      <c r="I31" s="94">
        <v>1316.0878632189185</v>
      </c>
      <c r="K31" s="108">
        <v>2021</v>
      </c>
      <c r="L31" s="74" t="s">
        <v>8</v>
      </c>
      <c r="M31" s="94">
        <v>27.508755945641752</v>
      </c>
      <c r="S31" s="101">
        <v>2021</v>
      </c>
      <c r="T31" s="74" t="s">
        <v>8</v>
      </c>
      <c r="U31" s="93">
        <v>547393.43432402599</v>
      </c>
      <c r="V31" s="93">
        <v>240446.90456173447</v>
      </c>
      <c r="W31" s="93">
        <v>889132.42867873772</v>
      </c>
      <c r="X31" s="93">
        <v>1154.4939775238249</v>
      </c>
      <c r="Y31" s="94">
        <v>1678127.261542022</v>
      </c>
      <c r="AA31" s="110">
        <v>2021</v>
      </c>
      <c r="AB31" s="74" t="s">
        <v>8</v>
      </c>
      <c r="AC31" s="94">
        <v>2.647033289328931</v>
      </c>
      <c r="AE31" s="132"/>
      <c r="AF31" s="80"/>
    </row>
    <row r="32" spans="2:50" x14ac:dyDescent="0.25">
      <c r="B32" s="90">
        <v>2021</v>
      </c>
      <c r="C32" s="74" t="s">
        <v>57</v>
      </c>
      <c r="D32" s="74" t="s">
        <v>10</v>
      </c>
      <c r="E32" s="94">
        <v>1582.3827647627891</v>
      </c>
      <c r="G32" s="90">
        <v>2021</v>
      </c>
      <c r="H32" s="74" t="s">
        <v>9</v>
      </c>
      <c r="I32" s="94">
        <v>1096.116907051239</v>
      </c>
      <c r="K32" s="108">
        <v>2021</v>
      </c>
      <c r="L32" s="74" t="s">
        <v>9</v>
      </c>
      <c r="M32" s="94">
        <v>25.211212647203226</v>
      </c>
      <c r="S32" s="101">
        <v>2021</v>
      </c>
      <c r="T32" s="74" t="s">
        <v>9</v>
      </c>
      <c r="U32" s="93">
        <v>326272.47464913281</v>
      </c>
      <c r="V32" s="93">
        <v>223288.61481006572</v>
      </c>
      <c r="W32" s="93">
        <v>818927.15279885498</v>
      </c>
      <c r="X32" s="93">
        <v>3973.0290918201918</v>
      </c>
      <c r="Y32" s="94">
        <v>1372461.2713498736</v>
      </c>
      <c r="AA32" s="110">
        <v>2021</v>
      </c>
      <c r="AB32" s="74" t="s">
        <v>9</v>
      </c>
      <c r="AC32" s="94">
        <v>-1.021593540452912</v>
      </c>
      <c r="AE32" s="132"/>
      <c r="AF32" s="80"/>
    </row>
    <row r="33" spans="2:49" x14ac:dyDescent="0.25">
      <c r="B33" s="90">
        <v>2021</v>
      </c>
      <c r="C33" s="74" t="s">
        <v>57</v>
      </c>
      <c r="D33" s="74" t="s">
        <v>11</v>
      </c>
      <c r="E33" s="94">
        <v>1313.2173739043542</v>
      </c>
      <c r="G33" s="90">
        <v>2021</v>
      </c>
      <c r="H33" s="74" t="s">
        <v>1</v>
      </c>
      <c r="I33" s="94">
        <v>12894.666908668738</v>
      </c>
      <c r="K33" s="108">
        <v>2021</v>
      </c>
      <c r="L33" s="74" t="s">
        <v>1</v>
      </c>
      <c r="M33" s="94">
        <v>22.375339464149363</v>
      </c>
      <c r="S33" s="101">
        <v>2021</v>
      </c>
      <c r="T33" s="74" t="s">
        <v>1</v>
      </c>
      <c r="U33" s="93">
        <v>519300.17937223124</v>
      </c>
      <c r="V33" s="93">
        <v>3104684.2773918761</v>
      </c>
      <c r="W33" s="93">
        <v>11622788.101427265</v>
      </c>
      <c r="X33" s="93">
        <v>533119.8440633273</v>
      </c>
      <c r="Y33" s="94">
        <v>15779892.402254699</v>
      </c>
      <c r="AA33" s="110">
        <v>2021</v>
      </c>
      <c r="AB33" s="74" t="s">
        <v>1</v>
      </c>
      <c r="AC33" s="94">
        <v>3.2018820493306777</v>
      </c>
      <c r="AS33" t="s">
        <v>0</v>
      </c>
      <c r="AT33" t="s">
        <v>101</v>
      </c>
      <c r="AU33" t="s">
        <v>104</v>
      </c>
      <c r="AV33" t="s">
        <v>102</v>
      </c>
      <c r="AW33" t="s">
        <v>105</v>
      </c>
    </row>
    <row r="34" spans="2:49" x14ac:dyDescent="0.25">
      <c r="B34" s="90">
        <v>2021</v>
      </c>
      <c r="C34" s="74" t="s">
        <v>57</v>
      </c>
      <c r="D34" s="74" t="s">
        <v>12</v>
      </c>
      <c r="E34" s="94">
        <v>1371.4025416424072</v>
      </c>
      <c r="G34" s="90">
        <v>2021</v>
      </c>
      <c r="H34" s="74" t="s">
        <v>14</v>
      </c>
      <c r="I34" s="94">
        <v>990.14717070243842</v>
      </c>
      <c r="K34" s="108">
        <v>2021</v>
      </c>
      <c r="L34" s="74" t="s">
        <v>14</v>
      </c>
      <c r="M34" s="94">
        <v>24.823529408010984</v>
      </c>
      <c r="S34" s="101">
        <v>2021</v>
      </c>
      <c r="T34" s="74" t="s">
        <v>14</v>
      </c>
      <c r="U34" s="93">
        <v>397848.20155559719</v>
      </c>
      <c r="V34" s="93">
        <v>249264.70064922018</v>
      </c>
      <c r="W34" s="93">
        <v>588628.52390228387</v>
      </c>
      <c r="X34" s="93">
        <v>195.21869724519337</v>
      </c>
      <c r="Y34" s="94">
        <v>1235936.6448043464</v>
      </c>
      <c r="AA34" s="110">
        <v>2021</v>
      </c>
      <c r="AB34" s="74" t="s">
        <v>14</v>
      </c>
      <c r="AC34" s="94">
        <v>12.990791440895876</v>
      </c>
      <c r="AS34" t="s">
        <v>2</v>
      </c>
      <c r="AT34" s="121">
        <f>[1]Planilha4!B80/[1]Planilha4!F80</f>
        <v>3.0165467786189615E-2</v>
      </c>
      <c r="AU34" s="121">
        <f>[1]Planilha4!C80/[1]Planilha4!F80</f>
        <v>0.94205927853290838</v>
      </c>
      <c r="AV34" s="121">
        <f>[1]Planilha4!D80/[1]Planilha4!F80</f>
        <v>2.7727398341499097E-2</v>
      </c>
      <c r="AW34" s="121">
        <f>[1]Planilha4!E80/[1]Planilha4!F80</f>
        <v>4.7855339402815465E-5</v>
      </c>
    </row>
    <row r="35" spans="2:49" x14ac:dyDescent="0.25">
      <c r="B35" s="90">
        <v>2021</v>
      </c>
      <c r="C35" s="74" t="s">
        <v>57</v>
      </c>
      <c r="D35" s="74" t="s">
        <v>13</v>
      </c>
      <c r="E35" s="94">
        <v>1136.3047358984529</v>
      </c>
      <c r="G35" s="90">
        <v>2021</v>
      </c>
      <c r="H35" s="74" t="s">
        <v>10</v>
      </c>
      <c r="I35" s="94">
        <v>1369.7906238092528</v>
      </c>
      <c r="K35" s="108">
        <v>2021</v>
      </c>
      <c r="L35" s="74" t="s">
        <v>10</v>
      </c>
      <c r="M35" s="94">
        <v>15.52004644055296</v>
      </c>
      <c r="S35" s="101">
        <v>2021</v>
      </c>
      <c r="T35" s="74" t="s">
        <v>10</v>
      </c>
      <c r="U35" s="93">
        <v>423180.12724421424</v>
      </c>
      <c r="V35" s="93">
        <v>739371.0144234295</v>
      </c>
      <c r="W35" s="93">
        <v>419402.14893680072</v>
      </c>
      <c r="X35" s="93">
        <v>429.47415834464579</v>
      </c>
      <c r="Y35" s="94">
        <v>1582382.764762789</v>
      </c>
      <c r="AA35" s="110">
        <v>2021</v>
      </c>
      <c r="AB35" s="74" t="s">
        <v>10</v>
      </c>
      <c r="AC35" s="94">
        <v>4.0562931485703899</v>
      </c>
      <c r="AS35" t="s">
        <v>4</v>
      </c>
      <c r="AT35" s="121">
        <f>[1]Planilha4!B81/[1]Planilha4!F81</f>
        <v>0.56757742335120398</v>
      </c>
      <c r="AU35" s="121">
        <f>[1]Planilha4!C81/[1]Planilha4!F81</f>
        <v>6.1156217516406944E-2</v>
      </c>
      <c r="AV35" s="121">
        <f>[1]Planilha4!D81/[1]Planilha4!F81</f>
        <v>0.3712507022890193</v>
      </c>
      <c r="AW35" s="121">
        <f>[1]Planilha4!E81/[1]Planilha4!F81</f>
        <v>1.56568433698077E-5</v>
      </c>
    </row>
    <row r="36" spans="2:49" x14ac:dyDescent="0.25">
      <c r="B36" s="90">
        <v>2021</v>
      </c>
      <c r="C36" s="74" t="s">
        <v>57</v>
      </c>
      <c r="D36" s="74" t="s">
        <v>14</v>
      </c>
      <c r="E36" s="94">
        <v>1235.9366448043468</v>
      </c>
      <c r="G36" s="90">
        <v>2021</v>
      </c>
      <c r="H36" s="74" t="s">
        <v>7</v>
      </c>
      <c r="I36" s="94">
        <v>1552.6579955607517</v>
      </c>
      <c r="K36" s="108">
        <v>2021</v>
      </c>
      <c r="L36" s="74" t="s">
        <v>7</v>
      </c>
      <c r="M36" s="94">
        <v>31.024694836132795</v>
      </c>
      <c r="S36" s="101">
        <v>2021</v>
      </c>
      <c r="T36" s="74" t="s">
        <v>7</v>
      </c>
      <c r="U36" s="93">
        <v>947362.10347345949</v>
      </c>
      <c r="V36" s="93">
        <v>215487.64746567822</v>
      </c>
      <c r="W36" s="93">
        <v>871289.08047403232</v>
      </c>
      <c r="X36" s="93">
        <v>226.56911912117511</v>
      </c>
      <c r="Y36" s="94">
        <v>2034365.4005322913</v>
      </c>
      <c r="AA36" s="110">
        <v>2021</v>
      </c>
      <c r="AB36" s="74" t="s">
        <v>7</v>
      </c>
      <c r="AC36" s="94">
        <v>11.539966377946314</v>
      </c>
      <c r="AS36" t="s">
        <v>16</v>
      </c>
      <c r="AT36" s="121">
        <f>[1]Planilha4!B82/[1]Planilha4!F82</f>
        <v>0.24850693073194166</v>
      </c>
      <c r="AU36" s="121">
        <f>[1]Planilha4!C82/[1]Planilha4!F82</f>
        <v>0.28904786617726203</v>
      </c>
      <c r="AV36" s="121">
        <f>[1]Planilha4!D82/[1]Planilha4!F82</f>
        <v>0.45983655666352774</v>
      </c>
      <c r="AW36" s="121">
        <f>[1]Planilha4!E82/[1]Planilha4!F82</f>
        <v>2.608646427268625E-3</v>
      </c>
    </row>
    <row r="37" spans="2:49" x14ac:dyDescent="0.25">
      <c r="B37" s="90">
        <v>2021</v>
      </c>
      <c r="C37" s="74" t="s">
        <v>57</v>
      </c>
      <c r="D37" s="74" t="s">
        <v>15</v>
      </c>
      <c r="E37" s="94">
        <v>945.67699078271971</v>
      </c>
      <c r="G37" s="90">
        <v>2021</v>
      </c>
      <c r="H37" s="74" t="s">
        <v>12</v>
      </c>
      <c r="I37" s="94">
        <v>1064.8793836327227</v>
      </c>
      <c r="K37" s="108">
        <v>2021</v>
      </c>
      <c r="L37" s="74" t="s">
        <v>12</v>
      </c>
      <c r="M37" s="94">
        <v>28.784777198335206</v>
      </c>
      <c r="S37" s="101">
        <v>2021</v>
      </c>
      <c r="T37" s="74" t="s">
        <v>12</v>
      </c>
      <c r="U37" s="93">
        <v>584485.72027475096</v>
      </c>
      <c r="V37" s="93">
        <v>235078.39194000489</v>
      </c>
      <c r="W37" s="93">
        <v>551734.24681694526</v>
      </c>
      <c r="X37" s="93">
        <v>104.18261070628469</v>
      </c>
      <c r="Y37" s="94">
        <v>1371402.5416424072</v>
      </c>
      <c r="AA37" s="110">
        <v>2021</v>
      </c>
      <c r="AB37" s="74" t="s">
        <v>12</v>
      </c>
      <c r="AC37" s="94">
        <v>18.245728687716081</v>
      </c>
      <c r="AS37" t="s">
        <v>12</v>
      </c>
      <c r="AT37" s="121">
        <f>[1]Planilha4!B83/[1]Planilha4!F83</f>
        <v>0.49341881312543368</v>
      </c>
      <c r="AU37" s="121">
        <f>[1]Planilha4!C83/[1]Planilha4!F83</f>
        <v>0.12257291424153834</v>
      </c>
      <c r="AV37" s="121">
        <f>[1]Planilha4!D83/[1]Planilha4!F83</f>
        <v>0.38394203324454701</v>
      </c>
      <c r="AW37" s="121">
        <f>[1]Planilha4!E83/[1]Planilha4!F83</f>
        <v>6.6239388481105575E-5</v>
      </c>
    </row>
    <row r="38" spans="2:49" x14ac:dyDescent="0.25">
      <c r="B38" s="90">
        <v>2021</v>
      </c>
      <c r="C38" s="74" t="s">
        <v>56</v>
      </c>
      <c r="D38" s="74" t="s">
        <v>16</v>
      </c>
      <c r="E38" s="94">
        <v>610.82536330526989</v>
      </c>
      <c r="G38" s="90">
        <v>2021</v>
      </c>
      <c r="H38" s="74" t="s">
        <v>16</v>
      </c>
      <c r="I38" s="94">
        <v>500.34254683969448</v>
      </c>
      <c r="K38" s="108">
        <v>2021</v>
      </c>
      <c r="L38" s="74" t="s">
        <v>16</v>
      </c>
      <c r="M38" s="94">
        <v>22.081435441262414</v>
      </c>
      <c r="S38" s="101">
        <v>2021</v>
      </c>
      <c r="T38" s="74" t="s">
        <v>16</v>
      </c>
      <c r="U38" s="93">
        <v>101675.90757103756</v>
      </c>
      <c r="V38" s="93">
        <v>181814.25984463529</v>
      </c>
      <c r="W38" s="93">
        <v>322905.65076580003</v>
      </c>
      <c r="X38" s="93">
        <v>4429.5451237968564</v>
      </c>
      <c r="Y38" s="94">
        <v>610825.36330526974</v>
      </c>
      <c r="AA38" s="110">
        <v>2021</v>
      </c>
      <c r="AB38" s="74" t="s">
        <v>16</v>
      </c>
      <c r="AC38" s="94">
        <v>3.3666192721658206</v>
      </c>
      <c r="AS38" t="s">
        <v>7</v>
      </c>
      <c r="AT38" s="121">
        <f>[1]Planilha4!B84/[1]Planilha4!F84</f>
        <v>0.56238425862950492</v>
      </c>
      <c r="AU38" s="121">
        <f>[1]Planilha4!C84/[1]Planilha4!F84</f>
        <v>6.4805952892306284E-2</v>
      </c>
      <c r="AV38" s="121">
        <f>[1]Planilha4!D84/[1]Planilha4!F84</f>
        <v>0.3727668937300061</v>
      </c>
      <c r="AW38" s="121">
        <f>[1]Planilha4!E84/[1]Planilha4!F84</f>
        <v>4.2894748182831471E-5</v>
      </c>
    </row>
    <row r="39" spans="2:49" x14ac:dyDescent="0.25">
      <c r="B39" s="90">
        <v>2021</v>
      </c>
      <c r="C39" s="74" t="s">
        <v>57</v>
      </c>
      <c r="D39" s="74" t="s">
        <v>17</v>
      </c>
      <c r="E39" s="94">
        <v>492.31547287175664</v>
      </c>
      <c r="G39" s="90">
        <v>2021</v>
      </c>
      <c r="H39" s="74" t="s">
        <v>4</v>
      </c>
      <c r="I39" s="94">
        <v>2150.2468310691584</v>
      </c>
      <c r="K39" s="108">
        <v>2021</v>
      </c>
      <c r="L39" s="74" t="s">
        <v>4</v>
      </c>
      <c r="M39" s="94">
        <v>31.092258572102196</v>
      </c>
      <c r="S39" s="101">
        <v>2021</v>
      </c>
      <c r="T39" s="74" t="s">
        <v>4</v>
      </c>
      <c r="U39" s="93">
        <v>1399867.0029194169</v>
      </c>
      <c r="V39" s="93">
        <v>212896.64387886587</v>
      </c>
      <c r="W39" s="93">
        <v>1205967.3812331215</v>
      </c>
      <c r="X39" s="93">
        <v>76.107692209891482</v>
      </c>
      <c r="Y39" s="94">
        <v>2818807.1357236141</v>
      </c>
      <c r="AA39" s="110">
        <v>2021</v>
      </c>
      <c r="AB39" s="74" t="s">
        <v>4</v>
      </c>
      <c r="AC39" s="94">
        <v>6.2518826014626256</v>
      </c>
      <c r="AS39" t="s">
        <v>10</v>
      </c>
      <c r="AT39" s="121">
        <f>[1]Planilha4!B85/[1]Planilha4!F85</f>
        <v>0.32591434688771997</v>
      </c>
      <c r="AU39" s="121">
        <f>[1]Planilha4!C85/[1]Planilha4!F85</f>
        <v>0.40940707312638225</v>
      </c>
      <c r="AV39" s="121">
        <f>[1]Planilha4!D85/[1]Planilha4!F85</f>
        <v>0.26454645490973683</v>
      </c>
      <c r="AW39" s="121">
        <f>[1]Planilha4!E85/[1]Planilha4!F85</f>
        <v>1.3212507616102876E-4</v>
      </c>
    </row>
    <row r="40" spans="2:49" x14ac:dyDescent="0.25">
      <c r="B40" s="90">
        <v>2021</v>
      </c>
      <c r="C40" s="74" t="s">
        <v>57</v>
      </c>
      <c r="D40" s="74" t="s">
        <v>18</v>
      </c>
      <c r="E40" s="94">
        <v>410.44492504950261</v>
      </c>
      <c r="G40" s="90">
        <v>2021</v>
      </c>
      <c r="H40" s="74" t="s">
        <v>2</v>
      </c>
      <c r="I40" s="94">
        <v>5969.4543577186168</v>
      </c>
      <c r="K40" s="108">
        <v>2021</v>
      </c>
      <c r="L40" s="74" t="s">
        <v>2</v>
      </c>
      <c r="M40" s="94">
        <v>81.046388470302475</v>
      </c>
      <c r="S40" s="101">
        <v>2021</v>
      </c>
      <c r="T40" s="74" t="s">
        <v>2</v>
      </c>
      <c r="U40" s="93">
        <v>187257.37771890976</v>
      </c>
      <c r="V40" s="93">
        <v>10374059.043492349</v>
      </c>
      <c r="W40" s="93">
        <v>245203.79360836418</v>
      </c>
      <c r="X40" s="93">
        <v>961.31121302499344</v>
      </c>
      <c r="Y40" s="94">
        <v>10807481.526032649</v>
      </c>
      <c r="AA40" s="110">
        <v>2021</v>
      </c>
      <c r="AB40" s="74" t="s">
        <v>2</v>
      </c>
      <c r="AC40" s="94">
        <v>-9.3427678148852067</v>
      </c>
      <c r="AS40" t="s">
        <v>14</v>
      </c>
      <c r="AT40" s="121">
        <f>[1]Planilha4!B86/[1]Planilha4!F86</f>
        <v>0.41137400233641513</v>
      </c>
      <c r="AU40" s="121">
        <f>[1]Planilha4!C86/[1]Planilha4!F86</f>
        <v>0.16250144225023486</v>
      </c>
      <c r="AV40" s="121">
        <f>[1]Planilha4!D86/[1]Planilha4!F86</f>
        <v>0.42606906768744951</v>
      </c>
      <c r="AW40" s="121">
        <f>[1]Planilha4!E86/[1]Planilha4!F86</f>
        <v>5.5487725900538008E-5</v>
      </c>
    </row>
    <row r="41" spans="2:49" x14ac:dyDescent="0.25">
      <c r="B41" s="90">
        <v>2022</v>
      </c>
      <c r="C41" s="74" t="s">
        <v>56</v>
      </c>
      <c r="D41" s="74" t="s">
        <v>1</v>
      </c>
      <c r="E41" s="94">
        <v>20455.969726509986</v>
      </c>
      <c r="G41" s="90">
        <v>2022</v>
      </c>
      <c r="H41" s="74" t="s">
        <v>15</v>
      </c>
      <c r="I41" s="94">
        <v>940.10618854353049</v>
      </c>
      <c r="K41" s="108">
        <v>2022</v>
      </c>
      <c r="L41" s="74" t="s">
        <v>15</v>
      </c>
      <c r="M41" s="94">
        <v>26.495224389536048</v>
      </c>
      <c r="S41" s="90">
        <v>2022</v>
      </c>
      <c r="T41" s="74" t="s">
        <v>15</v>
      </c>
      <c r="U41" s="93">
        <v>557039.36014443287</v>
      </c>
      <c r="V41" s="93">
        <v>206215.86127180513</v>
      </c>
      <c r="W41" s="93">
        <v>425801.32963832479</v>
      </c>
      <c r="X41" s="93">
        <v>132.88164349055208</v>
      </c>
      <c r="Y41" s="94">
        <v>1189189.4326980535</v>
      </c>
      <c r="AA41" s="110">
        <v>2022</v>
      </c>
      <c r="AB41" s="74" t="s">
        <v>15</v>
      </c>
      <c r="AC41" s="94">
        <v>-0.58908086941804072</v>
      </c>
      <c r="AS41" t="s">
        <v>1</v>
      </c>
      <c r="AT41" s="121">
        <f>[1]Planilha4!B87/[1]Planilha4!F87</f>
        <v>3.3112872235024363E-2</v>
      </c>
      <c r="AU41" s="121">
        <f>[1]Planilha4!C87/[1]Planilha4!F87</f>
        <v>0.21731436013803601</v>
      </c>
      <c r="AV41" s="121">
        <f>[1]Planilha4!D87/[1]Planilha4!F87</f>
        <v>0.73534060720094718</v>
      </c>
      <c r="AW41" s="121">
        <f>[1]Planilha4!E87/[1]Planilha4!F87</f>
        <v>1.4232160425992499E-2</v>
      </c>
    </row>
    <row r="42" spans="2:49" x14ac:dyDescent="0.25">
      <c r="B42" s="90">
        <v>2022</v>
      </c>
      <c r="C42" s="74" t="s">
        <v>56</v>
      </c>
      <c r="D42" s="74" t="s">
        <v>2</v>
      </c>
      <c r="E42" s="94">
        <v>11914.914823558733</v>
      </c>
      <c r="G42" s="90">
        <v>2022</v>
      </c>
      <c r="H42" s="74" t="s">
        <v>3</v>
      </c>
      <c r="I42" s="94">
        <v>3170.3754263097221</v>
      </c>
      <c r="K42" s="108">
        <v>2022</v>
      </c>
      <c r="L42" s="74" t="s">
        <v>3</v>
      </c>
      <c r="M42" s="94">
        <v>24.691285793203292</v>
      </c>
      <c r="S42" s="90">
        <v>2022</v>
      </c>
      <c r="T42" s="74" t="s">
        <v>3</v>
      </c>
      <c r="U42" s="93">
        <v>1013650.8505109397</v>
      </c>
      <c r="V42" s="93">
        <v>934403.76091347146</v>
      </c>
      <c r="W42" s="93">
        <v>2002934.1417927244</v>
      </c>
      <c r="X42" s="93">
        <v>2193.1303202096051</v>
      </c>
      <c r="Y42" s="94">
        <v>3953181.8835373451</v>
      </c>
      <c r="AA42" s="110">
        <v>2022</v>
      </c>
      <c r="AB42" s="74" t="s">
        <v>3</v>
      </c>
      <c r="AC42" s="94">
        <v>15.908346416517929</v>
      </c>
      <c r="AS42" t="s">
        <v>9</v>
      </c>
      <c r="AT42" s="121">
        <f>[1]Planilha4!B88/[1]Planilha4!F88</f>
        <v>0.30126109865527761</v>
      </c>
      <c r="AU42" s="121">
        <f>[1]Planilha4!C88/[1]Planilha4!F88</f>
        <v>0.14529920872095672</v>
      </c>
      <c r="AV42" s="121">
        <f>[1]Planilha4!D88/[1]Planilha4!F88</f>
        <v>0.5526475780615463</v>
      </c>
      <c r="AW42" s="121">
        <f>[1]Planilha4!E88/[1]Planilha4!F88</f>
        <v>7.9211456221935908E-4</v>
      </c>
    </row>
    <row r="43" spans="2:49" x14ac:dyDescent="0.25">
      <c r="B43" s="90">
        <v>2022</v>
      </c>
      <c r="C43" s="74" t="s">
        <v>56</v>
      </c>
      <c r="D43" s="74" t="s">
        <v>3</v>
      </c>
      <c r="E43" s="94">
        <v>3953.1818835373433</v>
      </c>
      <c r="G43" s="90">
        <v>2022</v>
      </c>
      <c r="H43" s="74" t="s">
        <v>11</v>
      </c>
      <c r="I43" s="94">
        <v>1326.0380353936457</v>
      </c>
      <c r="K43" s="108">
        <v>2022</v>
      </c>
      <c r="L43" s="74" t="s">
        <v>11</v>
      </c>
      <c r="M43" s="94">
        <v>27.867215258448681</v>
      </c>
      <c r="S43" s="90">
        <v>2022</v>
      </c>
      <c r="T43" s="74" t="s">
        <v>11</v>
      </c>
      <c r="U43" s="93">
        <v>799784.23808115534</v>
      </c>
      <c r="V43" s="93">
        <v>131554.96155841486</v>
      </c>
      <c r="W43" s="93">
        <v>764176.88410171459</v>
      </c>
      <c r="X43" s="93">
        <v>51.825384412396744</v>
      </c>
      <c r="Y43" s="94">
        <v>1695567.9091256973</v>
      </c>
      <c r="AA43" s="110">
        <v>2022</v>
      </c>
      <c r="AB43" s="74" t="s">
        <v>11</v>
      </c>
      <c r="AC43" s="94">
        <v>0.97627869871797657</v>
      </c>
      <c r="AS43" t="s">
        <v>8</v>
      </c>
      <c r="AT43" s="121">
        <f>[1]Planilha4!B89/[1]Planilha4!F89</f>
        <v>0.36447388854163304</v>
      </c>
      <c r="AU43" s="121">
        <f>[1]Planilha4!C89/[1]Planilha4!F89</f>
        <v>0.10427135789511942</v>
      </c>
      <c r="AV43" s="121">
        <f>[1]Planilha4!D89/[1]Planilha4!F89</f>
        <v>0.53105361788500061</v>
      </c>
      <c r="AW43" s="121">
        <f>[1]Planilha4!E89/[1]Planilha4!F89</f>
        <v>2.0113567824693536E-4</v>
      </c>
    </row>
    <row r="44" spans="2:49" x14ac:dyDescent="0.25">
      <c r="B44" s="90">
        <v>2022</v>
      </c>
      <c r="C44" s="74" t="s">
        <v>57</v>
      </c>
      <c r="D44" s="74" t="s">
        <v>4</v>
      </c>
      <c r="E44" s="94">
        <v>3715.6157699904074</v>
      </c>
      <c r="G44" s="90">
        <v>2022</v>
      </c>
      <c r="H44" s="74" t="s">
        <v>5</v>
      </c>
      <c r="I44" s="94">
        <v>3421.2557608217471</v>
      </c>
      <c r="K44" s="108">
        <v>2022</v>
      </c>
      <c r="L44" s="74" t="s">
        <v>5</v>
      </c>
      <c r="M44" s="94">
        <v>9.1232918762792679</v>
      </c>
      <c r="S44" s="90">
        <v>2022</v>
      </c>
      <c r="T44" s="74" t="s">
        <v>5</v>
      </c>
      <c r="U44" s="93">
        <v>443750.67496160453</v>
      </c>
      <c r="V44" s="93">
        <v>2595434.2793176966</v>
      </c>
      <c r="W44" s="93">
        <v>693656.03609001986</v>
      </c>
      <c r="X44" s="93">
        <v>545.9193462129623</v>
      </c>
      <c r="Y44" s="94">
        <v>3733386.9097155337</v>
      </c>
      <c r="AA44" s="110">
        <v>2022</v>
      </c>
      <c r="AB44" s="74" t="s">
        <v>5</v>
      </c>
      <c r="AC44" s="94">
        <v>-1.9429752632650121</v>
      </c>
      <c r="AS44" t="s">
        <v>17</v>
      </c>
      <c r="AT44" s="121">
        <f>[1]Planilha4!B90/[1]Planilha4!F90</f>
        <v>6.7714706294811869E-2</v>
      </c>
      <c r="AU44" s="121">
        <f>[1]Planilha4!C90/[1]Planilha4!F90</f>
        <v>0.46113261726944221</v>
      </c>
      <c r="AV44" s="121">
        <f>[1]Planilha4!D90/[1]Planilha4!F90</f>
        <v>0.46263195940619517</v>
      </c>
      <c r="AW44" s="121">
        <f>[1]Planilha4!E90/[1]Planilha4!F90</f>
        <v>8.5207170295508675E-3</v>
      </c>
    </row>
    <row r="45" spans="2:49" x14ac:dyDescent="0.25">
      <c r="B45" s="90">
        <v>2022</v>
      </c>
      <c r="C45" s="74" t="s">
        <v>56</v>
      </c>
      <c r="D45" s="74" t="s">
        <v>5</v>
      </c>
      <c r="E45" s="94">
        <v>3733.3869097155343</v>
      </c>
      <c r="G45" s="90">
        <v>2022</v>
      </c>
      <c r="H45" s="74" t="s">
        <v>18</v>
      </c>
      <c r="I45" s="94">
        <v>406.93090825680451</v>
      </c>
      <c r="K45" s="108">
        <v>2022</v>
      </c>
      <c r="L45" s="74" t="s">
        <v>18</v>
      </c>
      <c r="M45" s="94">
        <v>18.75944237769906</v>
      </c>
      <c r="S45" s="90">
        <v>2022</v>
      </c>
      <c r="T45" s="74" t="s">
        <v>18</v>
      </c>
      <c r="U45" s="93">
        <v>75539.445482388197</v>
      </c>
      <c r="V45" s="93">
        <v>177339.21263864011</v>
      </c>
      <c r="W45" s="93">
        <v>230353.53079460294</v>
      </c>
      <c r="X45" s="93">
        <v>36.688592655852048</v>
      </c>
      <c r="Y45" s="94">
        <v>483268.87750828714</v>
      </c>
      <c r="AA45" s="110">
        <v>2022</v>
      </c>
      <c r="AB45" s="74" t="s">
        <v>18</v>
      </c>
      <c r="AC45" s="94">
        <v>-0.85614818901082401</v>
      </c>
      <c r="AS45" t="s">
        <v>6</v>
      </c>
      <c r="AT45" s="121">
        <f>[1]Planilha4!B91/[1]Planilha4!F91</f>
        <v>0.5072869864583589</v>
      </c>
      <c r="AU45" s="121">
        <f>[1]Planilha4!C91/[1]Planilha4!F91</f>
        <v>0.11857077880896265</v>
      </c>
      <c r="AV45" s="121">
        <f>[1]Planilha4!D91/[1]Planilha4!F91</f>
        <v>0.37403588622859812</v>
      </c>
      <c r="AW45" s="121">
        <f>[1]Planilha4!E91/[1]Planilha4!F91</f>
        <v>1.0634850408039371E-4</v>
      </c>
    </row>
    <row r="46" spans="2:49" x14ac:dyDescent="0.25">
      <c r="B46" s="90">
        <v>2022</v>
      </c>
      <c r="C46" s="74" t="s">
        <v>56</v>
      </c>
      <c r="D46" s="74" t="s">
        <v>6</v>
      </c>
      <c r="E46" s="94">
        <v>2887.6151718081765</v>
      </c>
      <c r="G46" s="90">
        <v>2022</v>
      </c>
      <c r="H46" s="74" t="s">
        <v>13</v>
      </c>
      <c r="I46" s="94">
        <v>1103.2380985275686</v>
      </c>
      <c r="K46" s="108">
        <v>2022</v>
      </c>
      <c r="L46" s="74" t="s">
        <v>13</v>
      </c>
      <c r="M46" s="94">
        <v>26.813803867986067</v>
      </c>
      <c r="S46" s="90">
        <v>2022</v>
      </c>
      <c r="T46" s="74" t="s">
        <v>13</v>
      </c>
      <c r="U46" s="93">
        <v>557620.5530716615</v>
      </c>
      <c r="V46" s="93">
        <v>173552.9980979898</v>
      </c>
      <c r="W46" s="93">
        <v>667804.91643990146</v>
      </c>
      <c r="X46" s="93">
        <v>79.730854097318669</v>
      </c>
      <c r="Y46" s="94">
        <v>1399058.19846365</v>
      </c>
      <c r="AA46" s="110">
        <v>2022</v>
      </c>
      <c r="AB46" s="74" t="s">
        <v>13</v>
      </c>
      <c r="AC46" s="94">
        <v>-2.9100149217224782</v>
      </c>
      <c r="AS46" t="s">
        <v>13</v>
      </c>
      <c r="AT46" s="121">
        <f>[1]Planilha4!B92/[1]Planilha4!F92</f>
        <v>0.41247751279318312</v>
      </c>
      <c r="AU46" s="121">
        <f>[1]Planilha4!C92/[1]Planilha4!F92</f>
        <v>0.13387373325137936</v>
      </c>
      <c r="AV46" s="121">
        <f>[1]Planilha4!D92/[1]Planilha4!F92</f>
        <v>0.45352220069293669</v>
      </c>
      <c r="AW46" s="121">
        <f>[1]Planilha4!E92/[1]Planilha4!F92</f>
        <v>1.2655326250086055E-4</v>
      </c>
    </row>
    <row r="47" spans="2:49" x14ac:dyDescent="0.25">
      <c r="B47" s="90">
        <v>2022</v>
      </c>
      <c r="C47" s="74" t="s">
        <v>57</v>
      </c>
      <c r="D47" s="74" t="s">
        <v>7</v>
      </c>
      <c r="E47" s="94">
        <v>2352.3178179889464</v>
      </c>
      <c r="G47" s="90">
        <v>2022</v>
      </c>
      <c r="H47" s="74" t="s">
        <v>6</v>
      </c>
      <c r="I47" s="94">
        <v>2256.8319451812931</v>
      </c>
      <c r="K47" s="108">
        <v>2022</v>
      </c>
      <c r="L47" s="74" t="s">
        <v>6</v>
      </c>
      <c r="M47" s="94">
        <v>27.94994230623638</v>
      </c>
      <c r="S47" s="90">
        <v>2022</v>
      </c>
      <c r="T47" s="74" t="s">
        <v>6</v>
      </c>
      <c r="U47" s="93">
        <v>1468818.983926788</v>
      </c>
      <c r="V47" s="93">
        <v>256496.49605775921</v>
      </c>
      <c r="W47" s="93">
        <v>1162200.7733358575</v>
      </c>
      <c r="X47" s="93">
        <v>98.918487772432599</v>
      </c>
      <c r="Y47" s="94">
        <v>2887615.1718081771</v>
      </c>
      <c r="AA47" s="110">
        <v>2022</v>
      </c>
      <c r="AB47" s="74" t="s">
        <v>6</v>
      </c>
      <c r="AC47" s="94">
        <v>-13.525248522287583</v>
      </c>
      <c r="AS47" t="s">
        <v>18</v>
      </c>
      <c r="AT47" s="121">
        <f>[1]Planilha4!B93/[1]Planilha4!F93</f>
        <v>0.1899205914327341</v>
      </c>
      <c r="AU47" s="121">
        <f>[1]Planilha4!C93/[1]Planilha4!F93</f>
        <v>0.34512683790326071</v>
      </c>
      <c r="AV47" s="121">
        <f>[1]Planilha4!D93/[1]Planilha4!F93</f>
        <v>0.46473067518924199</v>
      </c>
      <c r="AW47" s="121">
        <f>[1]Planilha4!E93/[1]Planilha4!F93</f>
        <v>2.2189547476319409E-4</v>
      </c>
    </row>
    <row r="48" spans="2:49" x14ac:dyDescent="0.25">
      <c r="B48" s="90">
        <v>2022</v>
      </c>
      <c r="C48" s="74" t="s">
        <v>57</v>
      </c>
      <c r="D48" s="74" t="s">
        <v>8</v>
      </c>
      <c r="E48" s="94">
        <v>2160.2992458535055</v>
      </c>
      <c r="G48" s="90">
        <v>2022</v>
      </c>
      <c r="H48" s="74" t="s">
        <v>17</v>
      </c>
      <c r="I48" s="94">
        <v>475.88930185147075</v>
      </c>
      <c r="K48" s="108">
        <v>2022</v>
      </c>
      <c r="L48" s="74" t="s">
        <v>17</v>
      </c>
      <c r="M48" s="94">
        <v>17.321794375123176</v>
      </c>
      <c r="S48" s="90">
        <v>2022</v>
      </c>
      <c r="T48" s="74" t="s">
        <v>17</v>
      </c>
      <c r="U48" s="93">
        <v>33400.850326176442</v>
      </c>
      <c r="V48" s="93">
        <v>267171.69661520846</v>
      </c>
      <c r="W48" s="93">
        <v>256489.49373711646</v>
      </c>
      <c r="X48" s="93">
        <v>1259.8274928904175</v>
      </c>
      <c r="Y48" s="94">
        <v>558321.86817139178</v>
      </c>
      <c r="AA48" s="110">
        <v>2022</v>
      </c>
      <c r="AB48" s="74" t="s">
        <v>17</v>
      </c>
      <c r="AC48" s="94">
        <v>-3.3365132573366765</v>
      </c>
      <c r="AS48" t="s">
        <v>5</v>
      </c>
      <c r="AT48" s="121">
        <f>[1]Planilha4!B94/[1]Planilha4!F94</f>
        <v>0.13528147549453817</v>
      </c>
      <c r="AU48" s="121">
        <f>[1]Planilha4!C94/[1]Planilha4!F94</f>
        <v>0.6444362893897313</v>
      </c>
      <c r="AV48" s="121">
        <f>[1]Planilha4!D94/[1]Planilha4!F94</f>
        <v>0.21963443143550818</v>
      </c>
      <c r="AW48" s="121">
        <f>[1]Planilha4!E94/[1]Planilha4!F94</f>
        <v>6.4780368022240918E-4</v>
      </c>
    </row>
    <row r="49" spans="2:49" x14ac:dyDescent="0.25">
      <c r="B49" s="90">
        <v>2022</v>
      </c>
      <c r="C49" s="74" t="s">
        <v>57</v>
      </c>
      <c r="D49" s="74" t="s">
        <v>9</v>
      </c>
      <c r="E49" s="94">
        <v>1943.6557016362276</v>
      </c>
      <c r="G49" s="90">
        <v>2022</v>
      </c>
      <c r="H49" s="74" t="s">
        <v>8</v>
      </c>
      <c r="I49" s="94">
        <v>1725.3782354839718</v>
      </c>
      <c r="K49" s="108">
        <v>2022</v>
      </c>
      <c r="L49" s="74" t="s">
        <v>8</v>
      </c>
      <c r="M49" s="94">
        <v>25.207285070889824</v>
      </c>
      <c r="S49" s="90">
        <v>2022</v>
      </c>
      <c r="T49" s="74" t="s">
        <v>8</v>
      </c>
      <c r="U49" s="93">
        <v>766656.11440866557</v>
      </c>
      <c r="V49" s="93">
        <v>292348.93625298509</v>
      </c>
      <c r="W49" s="93">
        <v>1101146.3042022916</v>
      </c>
      <c r="X49" s="93">
        <v>147.89098956330375</v>
      </c>
      <c r="Y49" s="94">
        <v>2160299.245853506</v>
      </c>
      <c r="AA49" s="110">
        <v>2022</v>
      </c>
      <c r="AB49" s="74" t="s">
        <v>8</v>
      </c>
      <c r="AC49" s="94">
        <v>2.8156967010076954</v>
      </c>
      <c r="AS49" t="s">
        <v>11</v>
      </c>
      <c r="AT49" s="121">
        <f>[1]Planilha4!B95/[1]Planilha4!F95</f>
        <v>0.49026285254494012</v>
      </c>
      <c r="AU49" s="121">
        <f>[1]Planilha4!C95/[1]Planilha4!F95</f>
        <v>7.1028222161984997E-2</v>
      </c>
      <c r="AV49" s="121">
        <f>[1]Planilha4!D95/[1]Planilha4!F95</f>
        <v>0.43865523081438645</v>
      </c>
      <c r="AW49" s="121">
        <f>[1]Planilha4!E95/[1]Planilha4!F95</f>
        <v>5.3694478688381425E-5</v>
      </c>
    </row>
    <row r="50" spans="2:49" x14ac:dyDescent="0.25">
      <c r="B50" s="90">
        <v>2022</v>
      </c>
      <c r="C50" s="74" t="s">
        <v>57</v>
      </c>
      <c r="D50" s="74" t="s">
        <v>10</v>
      </c>
      <c r="E50" s="94">
        <v>1750.2769191951759</v>
      </c>
      <c r="G50" s="90">
        <v>2022</v>
      </c>
      <c r="H50" s="74" t="s">
        <v>9</v>
      </c>
      <c r="I50" s="94">
        <v>1550.622105488726</v>
      </c>
      <c r="K50" s="108">
        <v>2022</v>
      </c>
      <c r="L50" s="74" t="s">
        <v>9</v>
      </c>
      <c r="M50" s="94">
        <v>25.346833039222332</v>
      </c>
      <c r="S50" s="90">
        <v>2022</v>
      </c>
      <c r="T50" s="74" t="s">
        <v>9</v>
      </c>
      <c r="U50" s="93">
        <v>538543.63162078371</v>
      </c>
      <c r="V50" s="93">
        <v>280603.79315859778</v>
      </c>
      <c r="W50" s="93">
        <v>1123995.4327875695</v>
      </c>
      <c r="X50" s="93">
        <v>512.84406927668283</v>
      </c>
      <c r="Y50" s="94">
        <v>1943655.7016362275</v>
      </c>
      <c r="AA50" s="110">
        <v>2022</v>
      </c>
      <c r="AB50" s="74" t="s">
        <v>9</v>
      </c>
      <c r="AC50" s="94">
        <v>12.981119238696152</v>
      </c>
      <c r="AS50" t="s">
        <v>3</v>
      </c>
      <c r="AT50" s="121">
        <f>[1]Planilha4!B96/[1]Planilha4!F96</f>
        <v>0.23165611030729402</v>
      </c>
      <c r="AU50" s="121">
        <f>[1]Planilha4!C96/[1]Planilha4!F96</f>
        <v>0.18316035733898281</v>
      </c>
      <c r="AV50" s="121">
        <f>[1]Planilha4!D96/[1]Planilha4!F96</f>
        <v>0.58327887355655672</v>
      </c>
      <c r="AW50" s="121">
        <f>[1]Planilha4!E96/[1]Planilha4!F96</f>
        <v>1.9046587971664217E-3</v>
      </c>
    </row>
    <row r="51" spans="2:49" x14ac:dyDescent="0.25">
      <c r="B51" s="90">
        <v>2022</v>
      </c>
      <c r="C51" s="74" t="s">
        <v>57</v>
      </c>
      <c r="D51" s="74" t="s">
        <v>11</v>
      </c>
      <c r="E51" s="94">
        <v>1695.567909125697</v>
      </c>
      <c r="G51" s="90">
        <v>2022</v>
      </c>
      <c r="H51" s="74" t="s">
        <v>1</v>
      </c>
      <c r="I51" s="94">
        <v>16926.762944429087</v>
      </c>
      <c r="K51" s="108">
        <v>2022</v>
      </c>
      <c r="L51" s="74" t="s">
        <v>1</v>
      </c>
      <c r="M51" s="94">
        <v>20.849862396415404</v>
      </c>
      <c r="S51" s="90">
        <v>2022</v>
      </c>
      <c r="T51" s="74" t="s">
        <v>1</v>
      </c>
      <c r="U51" s="93">
        <v>603468.87795587326</v>
      </c>
      <c r="V51" s="93">
        <v>4508746.343588409</v>
      </c>
      <c r="W51" s="93">
        <v>15259205.512550799</v>
      </c>
      <c r="X51" s="93">
        <v>84548.99241490796</v>
      </c>
      <c r="Y51" s="94">
        <v>20455969.726509988</v>
      </c>
      <c r="AA51" s="110">
        <v>2022</v>
      </c>
      <c r="AB51" s="74" t="s">
        <v>1</v>
      </c>
      <c r="AC51" s="94">
        <v>7.267923715440034</v>
      </c>
      <c r="AS51" t="s">
        <v>15</v>
      </c>
      <c r="AT51" s="121">
        <f>[1]Planilha4!B97/[1]Planilha4!F97</f>
        <v>0.45776682820014364</v>
      </c>
      <c r="AU51" s="121">
        <f>[1]Planilha4!C97/[1]Planilha4!F97</f>
        <v>0.20621840647471867</v>
      </c>
      <c r="AV51" s="121">
        <f>[1]Planilha4!D97/[1]Planilha4!F97</f>
        <v>0.33560330035855801</v>
      </c>
      <c r="AW51" s="121">
        <f>[1]Planilha4!E97/[1]Planilha4!F97</f>
        <v>4.1146496657989577E-4</v>
      </c>
    </row>
    <row r="52" spans="2:49" x14ac:dyDescent="0.25">
      <c r="B52" s="90">
        <v>2022</v>
      </c>
      <c r="C52" s="74" t="s">
        <v>57</v>
      </c>
      <c r="D52" s="74" t="s">
        <v>12</v>
      </c>
      <c r="E52" s="94">
        <v>1796.3632718754732</v>
      </c>
      <c r="G52" s="90">
        <v>2022</v>
      </c>
      <c r="H52" s="74" t="s">
        <v>14</v>
      </c>
      <c r="I52" s="94">
        <v>1209.1137288541229</v>
      </c>
      <c r="K52" s="108">
        <v>2022</v>
      </c>
      <c r="L52" s="74" t="s">
        <v>14</v>
      </c>
      <c r="M52" s="94">
        <v>23.923513722294487</v>
      </c>
      <c r="S52" s="90">
        <v>2022</v>
      </c>
      <c r="T52" s="74" t="s">
        <v>14</v>
      </c>
      <c r="U52" s="93">
        <v>533268.24678564549</v>
      </c>
      <c r="V52" s="93">
        <v>276429.09069555561</v>
      </c>
      <c r="W52" s="93">
        <v>688657.26860659034</v>
      </c>
      <c r="X52" s="93">
        <v>21.611606893580074</v>
      </c>
      <c r="Y52" s="94">
        <v>1498376.2176946851</v>
      </c>
      <c r="AA52" s="110">
        <v>2022</v>
      </c>
      <c r="AB52" s="74" t="s">
        <v>14</v>
      </c>
      <c r="AC52" s="94">
        <v>-2.1702500741427713</v>
      </c>
    </row>
    <row r="53" spans="2:49" x14ac:dyDescent="0.25">
      <c r="B53" s="90">
        <v>2022</v>
      </c>
      <c r="C53" s="74" t="s">
        <v>57</v>
      </c>
      <c r="D53" s="74" t="s">
        <v>13</v>
      </c>
      <c r="E53" s="94">
        <v>1399.0581984636497</v>
      </c>
      <c r="G53" s="90">
        <v>2022</v>
      </c>
      <c r="H53" s="74" t="s">
        <v>10</v>
      </c>
      <c r="I53" s="94">
        <v>1446.6657906791697</v>
      </c>
      <c r="K53" s="108">
        <v>2022</v>
      </c>
      <c r="L53" s="74" t="s">
        <v>10</v>
      </c>
      <c r="M53" s="94">
        <v>20.986957075515633</v>
      </c>
      <c r="S53" s="90">
        <v>2022</v>
      </c>
      <c r="T53" s="74" t="s">
        <v>10</v>
      </c>
      <c r="U53" s="93">
        <v>583906.86906830838</v>
      </c>
      <c r="V53" s="93">
        <v>687158.43916091032</v>
      </c>
      <c r="W53" s="93">
        <v>479127.95425473014</v>
      </c>
      <c r="X53" s="93">
        <v>83.656711227066523</v>
      </c>
      <c r="Y53" s="94">
        <v>1750276.9191951759</v>
      </c>
      <c r="AA53" s="110">
        <v>2022</v>
      </c>
      <c r="AB53" s="74" t="s">
        <v>10</v>
      </c>
      <c r="AC53" s="94">
        <v>-8.5767474915567732</v>
      </c>
    </row>
    <row r="54" spans="2:49" x14ac:dyDescent="0.25">
      <c r="B54" s="90">
        <v>2022</v>
      </c>
      <c r="C54" s="74" t="s">
        <v>57</v>
      </c>
      <c r="D54" s="74" t="s">
        <v>14</v>
      </c>
      <c r="E54" s="94">
        <v>1498.3762176946852</v>
      </c>
      <c r="G54" s="90">
        <v>2022</v>
      </c>
      <c r="H54" s="74" t="s">
        <v>7</v>
      </c>
      <c r="I54" s="94">
        <v>1813.6279668715947</v>
      </c>
      <c r="K54" s="108">
        <v>2022</v>
      </c>
      <c r="L54" s="74" t="s">
        <v>7</v>
      </c>
      <c r="M54" s="94">
        <v>29.702334820440655</v>
      </c>
      <c r="S54" s="90">
        <v>2022</v>
      </c>
      <c r="T54" s="74" t="s">
        <v>7</v>
      </c>
      <c r="U54" s="93">
        <v>1301720.721506644</v>
      </c>
      <c r="V54" s="93">
        <v>81647.308467053837</v>
      </c>
      <c r="W54" s="93">
        <v>968908.04387271625</v>
      </c>
      <c r="X54" s="93">
        <v>41.744142533039614</v>
      </c>
      <c r="Y54" s="94">
        <v>2352317.817988947</v>
      </c>
      <c r="AA54" s="110">
        <v>2022</v>
      </c>
      <c r="AB54" s="74" t="s">
        <v>7</v>
      </c>
      <c r="AC54" s="94">
        <v>-10.850431962858821</v>
      </c>
    </row>
    <row r="55" spans="2:49" x14ac:dyDescent="0.25">
      <c r="B55" s="90">
        <v>2022</v>
      </c>
      <c r="C55" s="74" t="s">
        <v>57</v>
      </c>
      <c r="D55" s="74" t="s">
        <v>15</v>
      </c>
      <c r="E55" s="94">
        <v>1189.1894326980537</v>
      </c>
      <c r="G55" s="90">
        <v>2022</v>
      </c>
      <c r="H55" s="74" t="s">
        <v>12</v>
      </c>
      <c r="I55" s="94">
        <v>1419.6903301491127</v>
      </c>
      <c r="K55" s="108">
        <v>2022</v>
      </c>
      <c r="L55" s="74" t="s">
        <v>12</v>
      </c>
      <c r="M55" s="94">
        <v>26.532049541169854</v>
      </c>
      <c r="S55" s="90">
        <v>2022</v>
      </c>
      <c r="T55" s="74" t="s">
        <v>12</v>
      </c>
      <c r="U55" s="93">
        <v>793853.18689263659</v>
      </c>
      <c r="V55" s="93">
        <v>284744.86351379356</v>
      </c>
      <c r="W55" s="93">
        <v>717714.10754689411</v>
      </c>
      <c r="X55" s="93">
        <v>51.113922149099842</v>
      </c>
      <c r="Y55" s="94">
        <v>1796363.2718754734</v>
      </c>
      <c r="AA55" s="110">
        <v>2022</v>
      </c>
      <c r="AB55" s="74" t="s">
        <v>12</v>
      </c>
      <c r="AC55" s="94">
        <v>3.5210514083542108</v>
      </c>
    </row>
    <row r="56" spans="2:49" x14ac:dyDescent="0.25">
      <c r="B56" s="90">
        <v>2022</v>
      </c>
      <c r="C56" s="74" t="s">
        <v>56</v>
      </c>
      <c r="D56" s="74" t="s">
        <v>16</v>
      </c>
      <c r="E56" s="94">
        <v>610.09771610495773</v>
      </c>
      <c r="G56" s="90">
        <v>2022</v>
      </c>
      <c r="H56" s="74" t="s">
        <v>16</v>
      </c>
      <c r="I56" s="94">
        <v>500.14506128403133</v>
      </c>
      <c r="K56" s="108">
        <v>2022</v>
      </c>
      <c r="L56" s="74" t="s">
        <v>16</v>
      </c>
      <c r="M56" s="94">
        <v>21.984152865299336</v>
      </c>
      <c r="S56" s="90">
        <v>2022</v>
      </c>
      <c r="T56" s="74" t="s">
        <v>16</v>
      </c>
      <c r="U56" s="93">
        <v>173930.9501849908</v>
      </c>
      <c r="V56" s="93">
        <v>152340.53286190011</v>
      </c>
      <c r="W56" s="93">
        <v>283224.54354305915</v>
      </c>
      <c r="X56" s="93">
        <v>601.6895150078027</v>
      </c>
      <c r="Y56" s="94">
        <v>610097.71610495786</v>
      </c>
      <c r="AA56" s="110">
        <v>2022</v>
      </c>
      <c r="AB56" s="74" t="s">
        <v>16</v>
      </c>
      <c r="AC56" s="94">
        <v>-18.119794735164646</v>
      </c>
    </row>
    <row r="57" spans="2:49" x14ac:dyDescent="0.25">
      <c r="B57" s="90">
        <v>2022</v>
      </c>
      <c r="C57" s="74" t="s">
        <v>57</v>
      </c>
      <c r="D57" s="74" t="s">
        <v>17</v>
      </c>
      <c r="E57" s="94">
        <v>558.32186817139177</v>
      </c>
      <c r="G57" s="90">
        <v>2022</v>
      </c>
      <c r="H57" s="74" t="s">
        <v>4</v>
      </c>
      <c r="I57" s="94">
        <v>2888.2949655115563</v>
      </c>
      <c r="K57" s="108">
        <v>2022</v>
      </c>
      <c r="L57" s="74" t="s">
        <v>4</v>
      </c>
      <c r="M57" s="94">
        <v>28.643916717568402</v>
      </c>
      <c r="S57" s="90">
        <v>2022</v>
      </c>
      <c r="T57" s="74" t="s">
        <v>4</v>
      </c>
      <c r="U57" s="93">
        <v>2004611.1534704766</v>
      </c>
      <c r="V57" s="93">
        <v>248903.07979435279</v>
      </c>
      <c r="W57" s="93">
        <v>1462078.149589526</v>
      </c>
      <c r="X57" s="93">
        <v>23.387136052892089</v>
      </c>
      <c r="Y57" s="94">
        <v>3715615.7699904083</v>
      </c>
      <c r="AA57" s="110">
        <v>2022</v>
      </c>
      <c r="AB57" s="74" t="s">
        <v>4</v>
      </c>
      <c r="AC57" s="94">
        <v>2.4651502015622668</v>
      </c>
    </row>
    <row r="58" spans="2:49" x14ac:dyDescent="0.25">
      <c r="B58" s="90">
        <v>2022</v>
      </c>
      <c r="C58" s="74" t="s">
        <v>57</v>
      </c>
      <c r="D58" s="74" t="s">
        <v>18</v>
      </c>
      <c r="E58" s="94">
        <v>483.26887750828718</v>
      </c>
      <c r="G58" s="90">
        <v>2022</v>
      </c>
      <c r="H58" s="74" t="s">
        <v>2</v>
      </c>
      <c r="I58" s="94">
        <v>11707.752272039823</v>
      </c>
      <c r="K58" s="108">
        <v>2022</v>
      </c>
      <c r="L58" s="74" t="s">
        <v>2</v>
      </c>
      <c r="M58" s="94">
        <v>1.7694476847930076</v>
      </c>
      <c r="S58" s="90">
        <v>2022</v>
      </c>
      <c r="T58" s="74" t="s">
        <v>2</v>
      </c>
      <c r="U58" s="93">
        <v>204650.16785797977</v>
      </c>
      <c r="V58" s="93">
        <v>11486234.434772067</v>
      </c>
      <c r="W58" s="93">
        <v>223870.03488898568</v>
      </c>
      <c r="X58" s="93">
        <v>160.18603969725064</v>
      </c>
      <c r="Y58" s="94">
        <v>11914914.823558731</v>
      </c>
      <c r="AA58" s="110">
        <v>2022</v>
      </c>
      <c r="AB58" s="74" t="s">
        <v>2</v>
      </c>
      <c r="AC58" s="94">
        <v>8.3300697191907318</v>
      </c>
    </row>
    <row r="59" spans="2:49" x14ac:dyDescent="0.25">
      <c r="B59" s="90">
        <v>2023</v>
      </c>
      <c r="C59" s="74" t="s">
        <v>56</v>
      </c>
      <c r="D59" s="74" t="s">
        <v>1</v>
      </c>
      <c r="E59" s="94">
        <v>24223.383223195415</v>
      </c>
      <c r="G59" s="90">
        <v>2023</v>
      </c>
      <c r="H59" s="74" t="s">
        <v>15</v>
      </c>
      <c r="I59" s="94">
        <v>1356.3504379517556</v>
      </c>
      <c r="K59" s="108">
        <v>2023</v>
      </c>
      <c r="L59" s="74" t="s">
        <v>15</v>
      </c>
      <c r="M59" s="94">
        <v>19.382821363562641</v>
      </c>
      <c r="S59" s="90">
        <v>2023</v>
      </c>
      <c r="T59" s="74" t="s">
        <v>15</v>
      </c>
      <c r="U59" s="93">
        <v>764453.05832923262</v>
      </c>
      <c r="V59" s="93">
        <v>339233.76127909904</v>
      </c>
      <c r="W59" s="93">
        <v>515828.78289664636</v>
      </c>
      <c r="X59" s="93">
        <v>-266.18210113437476</v>
      </c>
      <c r="Y59" s="94">
        <v>1619249.4204038435</v>
      </c>
      <c r="AA59" s="110">
        <v>2023</v>
      </c>
      <c r="AB59" s="74" t="s">
        <v>15</v>
      </c>
      <c r="AC59" s="94">
        <v>14.05671801795647</v>
      </c>
    </row>
    <row r="60" spans="2:49" x14ac:dyDescent="0.25">
      <c r="B60" s="90">
        <v>2023</v>
      </c>
      <c r="C60" s="74" t="s">
        <v>56</v>
      </c>
      <c r="D60" s="74" t="s">
        <v>2</v>
      </c>
      <c r="E60" s="94">
        <v>14045.514864056213</v>
      </c>
      <c r="G60" s="90">
        <v>2023</v>
      </c>
      <c r="H60" s="74" t="s">
        <v>3</v>
      </c>
      <c r="I60" s="94">
        <v>3909.9131452253791</v>
      </c>
      <c r="K60" s="108">
        <v>2023</v>
      </c>
      <c r="L60" s="74" t="s">
        <v>3</v>
      </c>
      <c r="M60" s="94">
        <v>18.470339571549658</v>
      </c>
      <c r="S60" s="90">
        <v>2023</v>
      </c>
      <c r="T60" s="74" t="s">
        <v>3</v>
      </c>
      <c r="U60" s="93">
        <v>1275947.716637485</v>
      </c>
      <c r="V60" s="93">
        <v>969538.66668732197</v>
      </c>
      <c r="W60" s="93">
        <v>2389566.7263308209</v>
      </c>
      <c r="X60" s="93">
        <v>-2965.7295544622775</v>
      </c>
      <c r="Y60" s="94">
        <v>4632087.3801011657</v>
      </c>
      <c r="AA60" s="110">
        <v>2023</v>
      </c>
      <c r="AB60" s="74" t="s">
        <v>3</v>
      </c>
      <c r="AC60" s="94">
        <v>-1.0945294091362854</v>
      </c>
    </row>
    <row r="61" spans="2:49" x14ac:dyDescent="0.25">
      <c r="B61" s="90">
        <v>2023</v>
      </c>
      <c r="C61" s="74" t="s">
        <v>56</v>
      </c>
      <c r="D61" s="74" t="s">
        <v>3</v>
      </c>
      <c r="E61" s="94">
        <v>4632.0873801011649</v>
      </c>
      <c r="G61" s="90">
        <v>2023</v>
      </c>
      <c r="H61" s="74" t="s">
        <v>11</v>
      </c>
      <c r="I61" s="94">
        <v>1724.9224634535317</v>
      </c>
      <c r="K61" s="108">
        <v>2023</v>
      </c>
      <c r="L61" s="74" t="s">
        <v>11</v>
      </c>
      <c r="M61" s="94">
        <v>21.020163449879533</v>
      </c>
      <c r="S61" s="90">
        <v>2023</v>
      </c>
      <c r="T61" s="74" t="s">
        <v>11</v>
      </c>
      <c r="U61" s="93">
        <v>1033876.8799617589</v>
      </c>
      <c r="V61" s="93">
        <v>144255.23431097774</v>
      </c>
      <c r="W61" s="93">
        <v>909396.25680582179</v>
      </c>
      <c r="X61" s="93">
        <v>-24.386423406037729</v>
      </c>
      <c r="Y61" s="94">
        <v>2087503.9846551523</v>
      </c>
      <c r="AA61" s="110">
        <v>2023</v>
      </c>
      <c r="AB61" s="74" t="s">
        <v>11</v>
      </c>
      <c r="AC61" s="94">
        <v>1.7312520583720641</v>
      </c>
    </row>
    <row r="62" spans="2:49" x14ac:dyDescent="0.25">
      <c r="B62" s="90">
        <v>2023</v>
      </c>
      <c r="C62" s="74" t="s">
        <v>57</v>
      </c>
      <c r="D62" s="74" t="s">
        <v>4</v>
      </c>
      <c r="E62" s="94">
        <v>4430.2209300197228</v>
      </c>
      <c r="G62" s="90">
        <v>2023</v>
      </c>
      <c r="H62" s="74" t="s">
        <v>5</v>
      </c>
      <c r="I62" s="94">
        <v>3521.7799936225251</v>
      </c>
      <c r="K62" s="108">
        <v>2023</v>
      </c>
      <c r="L62" s="74" t="s">
        <v>5</v>
      </c>
      <c r="M62" s="94">
        <v>20.473471459459262</v>
      </c>
      <c r="S62" s="90">
        <v>2023</v>
      </c>
      <c r="T62" s="74" t="s">
        <v>5</v>
      </c>
      <c r="U62" s="93">
        <v>555248.05914728844</v>
      </c>
      <c r="V62" s="93">
        <v>2909234.1320441617</v>
      </c>
      <c r="W62" s="93">
        <v>779371.75970906904</v>
      </c>
      <c r="X62" s="93">
        <v>-1043.3354187392076</v>
      </c>
      <c r="Y62" s="94">
        <v>4242810.6154817799</v>
      </c>
      <c r="AA62" s="110">
        <v>2023</v>
      </c>
      <c r="AB62" s="74" t="s">
        <v>5</v>
      </c>
      <c r="AC62" s="94">
        <v>-5.6679610554785143</v>
      </c>
    </row>
    <row r="63" spans="2:49" x14ac:dyDescent="0.25">
      <c r="B63" s="90">
        <v>2023</v>
      </c>
      <c r="C63" s="74" t="s">
        <v>56</v>
      </c>
      <c r="D63" s="74" t="s">
        <v>5</v>
      </c>
      <c r="E63" s="94">
        <v>4242.8106154817788</v>
      </c>
      <c r="G63" s="90">
        <v>2023</v>
      </c>
      <c r="H63" s="74" t="s">
        <v>18</v>
      </c>
      <c r="I63" s="94">
        <v>497.13756785900648</v>
      </c>
      <c r="K63" s="108">
        <v>2023</v>
      </c>
      <c r="L63" s="74" t="s">
        <v>18</v>
      </c>
      <c r="M63" s="94">
        <v>15.074715804190973</v>
      </c>
      <c r="S63" s="90">
        <v>2023</v>
      </c>
      <c r="T63" s="74" t="s">
        <v>18</v>
      </c>
      <c r="U63" s="93">
        <v>103653.69837362619</v>
      </c>
      <c r="V63" s="93">
        <v>235088.99089783826</v>
      </c>
      <c r="W63" s="93">
        <v>233397.21085692605</v>
      </c>
      <c r="X63" s="93">
        <v>-60.25675877176942</v>
      </c>
      <c r="Y63" s="94">
        <v>572079.6433696188</v>
      </c>
      <c r="AA63" s="110">
        <v>2023</v>
      </c>
      <c r="AB63" s="74" t="s">
        <v>18</v>
      </c>
      <c r="AC63" s="94">
        <v>2.8697669136538622</v>
      </c>
    </row>
    <row r="64" spans="2:49" x14ac:dyDescent="0.25">
      <c r="B64" s="90">
        <v>2023</v>
      </c>
      <c r="C64" s="74" t="s">
        <v>56</v>
      </c>
      <c r="D64" s="74" t="s">
        <v>6</v>
      </c>
      <c r="E64" s="94">
        <v>3398.2330239528196</v>
      </c>
      <c r="G64" s="90">
        <v>2023</v>
      </c>
      <c r="H64" s="74" t="s">
        <v>13</v>
      </c>
      <c r="I64" s="94">
        <v>1561.894207041666</v>
      </c>
      <c r="K64" s="108">
        <v>2023</v>
      </c>
      <c r="L64" s="74" t="s">
        <v>13</v>
      </c>
      <c r="M64" s="94">
        <v>19.613779148723324</v>
      </c>
      <c r="S64" s="90">
        <v>2023</v>
      </c>
      <c r="T64" s="74" t="s">
        <v>13</v>
      </c>
      <c r="U64" s="93">
        <v>735351.09898054611</v>
      </c>
      <c r="V64" s="93">
        <v>279416.93616416794</v>
      </c>
      <c r="W64" s="93">
        <v>853530.1696822698</v>
      </c>
      <c r="X64" s="93">
        <v>-57.517479461600431</v>
      </c>
      <c r="Y64" s="94">
        <v>1868240.6873475222</v>
      </c>
      <c r="AA64" s="110">
        <v>2023</v>
      </c>
      <c r="AB64" s="74" t="s">
        <v>13</v>
      </c>
      <c r="AC64" s="94">
        <v>11.638973186164222</v>
      </c>
    </row>
    <row r="65" spans="2:29" x14ac:dyDescent="0.25">
      <c r="B65" s="90">
        <v>2023</v>
      </c>
      <c r="C65" s="74" t="s">
        <v>57</v>
      </c>
      <c r="D65" s="74" t="s">
        <v>7</v>
      </c>
      <c r="E65" s="94">
        <v>3271.5452131991187</v>
      </c>
      <c r="G65" s="90">
        <v>2023</v>
      </c>
      <c r="H65" s="74" t="s">
        <v>6</v>
      </c>
      <c r="I65" s="94">
        <v>2816.9921037943468</v>
      </c>
      <c r="K65" s="108">
        <v>2023</v>
      </c>
      <c r="L65" s="74" t="s">
        <v>6</v>
      </c>
      <c r="M65" s="94">
        <v>20.633388335578573</v>
      </c>
      <c r="S65" s="90">
        <v>2023</v>
      </c>
      <c r="T65" s="74" t="s">
        <v>6</v>
      </c>
      <c r="U65" s="93">
        <v>1777333.4081542855</v>
      </c>
      <c r="V65" s="93">
        <v>332319.06092201086</v>
      </c>
      <c r="W65" s="93">
        <v>1288722.385126851</v>
      </c>
      <c r="X65" s="93">
        <v>-141.83025032844435</v>
      </c>
      <c r="Y65" s="94">
        <v>3398233.0239528189</v>
      </c>
      <c r="AA65" s="110">
        <v>2023</v>
      </c>
      <c r="AB65" s="74" t="s">
        <v>6</v>
      </c>
      <c r="AC65" s="94">
        <v>-2.4457229863356957</v>
      </c>
    </row>
    <row r="66" spans="2:29" x14ac:dyDescent="0.25">
      <c r="B66" s="90">
        <v>2023</v>
      </c>
      <c r="C66" s="74" t="s">
        <v>57</v>
      </c>
      <c r="D66" s="74" t="s">
        <v>8</v>
      </c>
      <c r="E66" s="94">
        <v>2886.0039497817033</v>
      </c>
      <c r="G66" s="90">
        <v>2023</v>
      </c>
      <c r="H66" s="74" t="s">
        <v>17</v>
      </c>
      <c r="I66" s="94">
        <v>637.54488301380832</v>
      </c>
      <c r="K66" s="108">
        <v>2023</v>
      </c>
      <c r="L66" s="74" t="s">
        <v>17</v>
      </c>
      <c r="M66" s="94">
        <v>12.649419535211422</v>
      </c>
      <c r="S66" s="90">
        <v>2023</v>
      </c>
      <c r="T66" s="74" t="s">
        <v>17</v>
      </c>
      <c r="U66" s="93">
        <v>54019.407983025252</v>
      </c>
      <c r="V66" s="93">
        <v>374305.74020485999</v>
      </c>
      <c r="W66" s="93">
        <v>292044.82433414902</v>
      </c>
      <c r="X66" s="93">
        <v>-2179.36253053665</v>
      </c>
      <c r="Y66" s="94">
        <v>718190.60999149771</v>
      </c>
      <c r="AA66" s="110">
        <v>2023</v>
      </c>
      <c r="AB66" s="74" t="s">
        <v>17</v>
      </c>
      <c r="AC66" s="94">
        <v>14.189488063916727</v>
      </c>
    </row>
    <row r="67" spans="2:29" x14ac:dyDescent="0.25">
      <c r="B67" s="90">
        <v>2023</v>
      </c>
      <c r="C67" s="74" t="s">
        <v>57</v>
      </c>
      <c r="D67" s="74" t="s">
        <v>9</v>
      </c>
      <c r="E67" s="94">
        <v>2477.7489648252549</v>
      </c>
      <c r="G67" s="90">
        <v>2023</v>
      </c>
      <c r="H67" s="74" t="s">
        <v>8</v>
      </c>
      <c r="I67" s="94">
        <v>2430.9758401832873</v>
      </c>
      <c r="K67" s="108">
        <v>2023</v>
      </c>
      <c r="L67" s="74" t="s">
        <v>8</v>
      </c>
      <c r="M67" s="94">
        <v>18.717919860697108</v>
      </c>
      <c r="S67" s="90">
        <v>2023</v>
      </c>
      <c r="T67" s="74" t="s">
        <v>8</v>
      </c>
      <c r="U67" s="93">
        <v>937577.20430871006</v>
      </c>
      <c r="V67" s="93">
        <v>258174.82755338785</v>
      </c>
      <c r="W67" s="93">
        <v>1690349.9193723225</v>
      </c>
      <c r="X67" s="93">
        <v>-98.001452717681047</v>
      </c>
      <c r="Y67" s="94">
        <v>2886003.9497817028</v>
      </c>
      <c r="AA67" s="110">
        <v>2023</v>
      </c>
      <c r="AB67" s="74" t="s">
        <v>8</v>
      </c>
      <c r="AC67" s="94">
        <v>12.529587965617296</v>
      </c>
    </row>
    <row r="68" spans="2:29" x14ac:dyDescent="0.25">
      <c r="B68" s="90">
        <v>2023</v>
      </c>
      <c r="C68" s="74" t="s">
        <v>57</v>
      </c>
      <c r="D68" s="74" t="s">
        <v>10</v>
      </c>
      <c r="E68" s="94">
        <v>2363.1285811578277</v>
      </c>
      <c r="G68" s="90">
        <v>2023</v>
      </c>
      <c r="H68" s="74" t="s">
        <v>9</v>
      </c>
      <c r="I68" s="94">
        <v>2077.2513092039826</v>
      </c>
      <c r="K68" s="108">
        <v>2023</v>
      </c>
      <c r="L68" s="74" t="s">
        <v>9</v>
      </c>
      <c r="M68" s="94">
        <v>19.280173460318849</v>
      </c>
      <c r="S68" s="90">
        <v>2023</v>
      </c>
      <c r="T68" s="74" t="s">
        <v>9</v>
      </c>
      <c r="U68" s="93">
        <v>777132.46139997616</v>
      </c>
      <c r="V68" s="93">
        <v>285102.45731029689</v>
      </c>
      <c r="W68" s="93">
        <v>1415913.917418546</v>
      </c>
      <c r="X68" s="93">
        <v>-399.87130356409051</v>
      </c>
      <c r="Y68" s="94">
        <v>2477748.9648252549</v>
      </c>
      <c r="AA68" s="110">
        <v>2023</v>
      </c>
      <c r="AB68" s="74" t="s">
        <v>9</v>
      </c>
      <c r="AC68" s="94">
        <v>6.8734193743928245</v>
      </c>
    </row>
    <row r="69" spans="2:29" x14ac:dyDescent="0.25">
      <c r="B69" s="90">
        <v>2023</v>
      </c>
      <c r="C69" s="74" t="s">
        <v>57</v>
      </c>
      <c r="D69" s="74" t="s">
        <v>11</v>
      </c>
      <c r="E69" s="94">
        <v>2087.5039846551526</v>
      </c>
      <c r="G69" s="90">
        <v>2023</v>
      </c>
      <c r="H69" s="74" t="s">
        <v>1</v>
      </c>
      <c r="I69" s="94">
        <v>20598.72931891993</v>
      </c>
      <c r="K69" s="108">
        <v>2023</v>
      </c>
      <c r="L69" s="74" t="s">
        <v>1</v>
      </c>
      <c r="M69" s="94">
        <v>17.596492716403816</v>
      </c>
      <c r="S69" s="90">
        <v>2023</v>
      </c>
      <c r="T69" s="74" t="s">
        <v>1</v>
      </c>
      <c r="U69" s="93">
        <v>826474.73760042142</v>
      </c>
      <c r="V69" s="93">
        <v>5747788.5161293242</v>
      </c>
      <c r="W69" s="93">
        <v>17768497.597149089</v>
      </c>
      <c r="X69" s="93">
        <v>-119377.62768342056</v>
      </c>
      <c r="Y69" s="94">
        <v>24223383.223195415</v>
      </c>
      <c r="AA69" s="110">
        <v>2023</v>
      </c>
      <c r="AB69" s="74" t="s">
        <v>1</v>
      </c>
      <c r="AC69" s="94">
        <v>0.69788719048079884</v>
      </c>
    </row>
    <row r="70" spans="2:29" x14ac:dyDescent="0.25">
      <c r="B70" s="90">
        <v>2023</v>
      </c>
      <c r="C70" s="74" t="s">
        <v>57</v>
      </c>
      <c r="D70" s="74" t="s">
        <v>12</v>
      </c>
      <c r="E70" s="94">
        <v>2050.8767002885743</v>
      </c>
      <c r="G70" s="90">
        <v>2023</v>
      </c>
      <c r="H70" s="74" t="s">
        <v>14</v>
      </c>
      <c r="I70" s="94">
        <v>1479.8737589211364</v>
      </c>
      <c r="K70" s="108">
        <v>2023</v>
      </c>
      <c r="L70" s="74" t="s">
        <v>14</v>
      </c>
      <c r="M70" s="94">
        <v>19.2769099146211</v>
      </c>
      <c r="S70" s="90">
        <v>2023</v>
      </c>
      <c r="T70" s="74" t="s">
        <v>14</v>
      </c>
      <c r="U70" s="93">
        <v>759205.18021549727</v>
      </c>
      <c r="V70" s="93">
        <v>321054.10556934524</v>
      </c>
      <c r="W70" s="93">
        <v>684917.9468913353</v>
      </c>
      <c r="X70" s="93">
        <v>-29.542397696843707</v>
      </c>
      <c r="Y70" s="94">
        <v>1765147.690278481</v>
      </c>
      <c r="AA70" s="110">
        <v>2023</v>
      </c>
      <c r="AB70" s="74" t="s">
        <v>14</v>
      </c>
      <c r="AC70" s="94">
        <v>-1.2348339859541824</v>
      </c>
    </row>
    <row r="71" spans="2:29" x14ac:dyDescent="0.25">
      <c r="B71" s="90">
        <v>2023</v>
      </c>
      <c r="C71" s="74" t="s">
        <v>57</v>
      </c>
      <c r="D71" s="74" t="s">
        <v>13</v>
      </c>
      <c r="E71" s="94">
        <v>1868.2406873475222</v>
      </c>
      <c r="G71" s="90">
        <v>2023</v>
      </c>
      <c r="H71" s="74" t="s">
        <v>10</v>
      </c>
      <c r="I71" s="94">
        <v>2010.5391311631163</v>
      </c>
      <c r="K71" s="108">
        <v>2023</v>
      </c>
      <c r="L71" s="74" t="s">
        <v>10</v>
      </c>
      <c r="M71" s="94">
        <v>17.537059812943554</v>
      </c>
      <c r="S71" s="90">
        <v>2023</v>
      </c>
      <c r="T71" s="74" t="s">
        <v>10</v>
      </c>
      <c r="U71" s="93">
        <v>722441.37568700605</v>
      </c>
      <c r="V71" s="93">
        <v>1057554.0762072001</v>
      </c>
      <c r="W71" s="93">
        <v>583222.62823533756</v>
      </c>
      <c r="X71" s="93">
        <v>-89.498971716645414</v>
      </c>
      <c r="Y71" s="94">
        <v>2363128.5811578268</v>
      </c>
      <c r="AA71" s="110">
        <v>2023</v>
      </c>
      <c r="AB71" s="74" t="s">
        <v>10</v>
      </c>
      <c r="AC71" s="94">
        <v>14.869773412061903</v>
      </c>
    </row>
    <row r="72" spans="2:29" x14ac:dyDescent="0.25">
      <c r="B72" s="90">
        <v>2023</v>
      </c>
      <c r="C72" s="74" t="s">
        <v>57</v>
      </c>
      <c r="D72" s="74" t="s">
        <v>14</v>
      </c>
      <c r="E72" s="94">
        <v>1765.1476902784807</v>
      </c>
      <c r="G72" s="90">
        <v>2023</v>
      </c>
      <c r="H72" s="74" t="s">
        <v>7</v>
      </c>
      <c r="I72" s="94">
        <v>2692.7368097281992</v>
      </c>
      <c r="K72" s="108">
        <v>2023</v>
      </c>
      <c r="L72" s="74" t="s">
        <v>7</v>
      </c>
      <c r="M72" s="94">
        <v>21.49517180363955</v>
      </c>
      <c r="S72" s="90">
        <v>2023</v>
      </c>
      <c r="T72" s="74" t="s">
        <v>7</v>
      </c>
      <c r="U72" s="93">
        <v>1886260.7413129539</v>
      </c>
      <c r="V72" s="93">
        <v>149711.63574500597</v>
      </c>
      <c r="W72" s="93">
        <v>1235615.1766042553</v>
      </c>
      <c r="X72" s="93">
        <v>-42.34046309733305</v>
      </c>
      <c r="Y72" s="94">
        <v>3271545.2131991182</v>
      </c>
      <c r="AA72" s="110">
        <v>2023</v>
      </c>
      <c r="AB72" s="74" t="s">
        <v>7</v>
      </c>
      <c r="AC72" s="94">
        <v>14.471641082508356</v>
      </c>
    </row>
    <row r="73" spans="2:29" x14ac:dyDescent="0.25">
      <c r="B73" s="90">
        <v>2023</v>
      </c>
      <c r="C73" s="74" t="s">
        <v>57</v>
      </c>
      <c r="D73" s="74" t="s">
        <v>15</v>
      </c>
      <c r="E73" s="94">
        <v>1619.2494204038437</v>
      </c>
      <c r="G73" s="90">
        <v>2023</v>
      </c>
      <c r="H73" s="74" t="s">
        <v>12</v>
      </c>
      <c r="I73" s="94">
        <v>1708.5437102254709</v>
      </c>
      <c r="K73" s="108">
        <v>2023</v>
      </c>
      <c r="L73" s="74" t="s">
        <v>12</v>
      </c>
      <c r="M73" s="94">
        <v>20.036536847976066</v>
      </c>
      <c r="S73" s="90">
        <v>2023</v>
      </c>
      <c r="T73" s="74" t="s">
        <v>12</v>
      </c>
      <c r="U73" s="93">
        <v>977011.82880785281</v>
      </c>
      <c r="V73" s="93">
        <v>266743.26274802454</v>
      </c>
      <c r="W73" s="93">
        <v>807180.09441693826</v>
      </c>
      <c r="X73" s="93">
        <v>-58.485684241324421</v>
      </c>
      <c r="Y73" s="94">
        <v>2050876.7002885742</v>
      </c>
      <c r="AA73" s="110">
        <v>2023</v>
      </c>
      <c r="AB73" s="74" t="s">
        <v>12</v>
      </c>
      <c r="AC73" s="94">
        <v>-4.8887417720534501</v>
      </c>
    </row>
    <row r="74" spans="2:29" x14ac:dyDescent="0.25">
      <c r="B74" s="90">
        <v>2023</v>
      </c>
      <c r="C74" s="74" t="s">
        <v>56</v>
      </c>
      <c r="D74" s="74" t="s">
        <v>16</v>
      </c>
      <c r="E74" s="94">
        <v>847.9021605389521</v>
      </c>
      <c r="G74" s="90">
        <v>2023</v>
      </c>
      <c r="H74" s="74" t="s">
        <v>16</v>
      </c>
      <c r="I74" s="94">
        <v>725.30863806222555</v>
      </c>
      <c r="K74" s="108">
        <v>2023</v>
      </c>
      <c r="L74" s="74" t="s">
        <v>16</v>
      </c>
      <c r="M74" s="94">
        <v>16.902255956065005</v>
      </c>
      <c r="S74" s="90">
        <v>2023</v>
      </c>
      <c r="T74" s="74" t="s">
        <v>16</v>
      </c>
      <c r="U74" s="93">
        <v>244471.0016730724</v>
      </c>
      <c r="V74" s="93">
        <v>253200.99575677255</v>
      </c>
      <c r="W74" s="93">
        <v>350973.54328124027</v>
      </c>
      <c r="X74" s="93">
        <v>-743.3801721332776</v>
      </c>
      <c r="Y74" s="94">
        <v>847902.16053895187</v>
      </c>
      <c r="AA74" s="110">
        <v>2023</v>
      </c>
      <c r="AB74" s="74" t="s">
        <v>16</v>
      </c>
      <c r="AC74" s="94">
        <v>18.884011350314182</v>
      </c>
    </row>
    <row r="75" spans="2:29" x14ac:dyDescent="0.25">
      <c r="B75" s="90">
        <v>2023</v>
      </c>
      <c r="C75" s="74" t="s">
        <v>57</v>
      </c>
      <c r="D75" s="74" t="s">
        <v>17</v>
      </c>
      <c r="E75" s="94">
        <v>718.19060999149769</v>
      </c>
      <c r="G75" s="90">
        <v>2023</v>
      </c>
      <c r="H75" s="74" t="s">
        <v>4</v>
      </c>
      <c r="I75" s="94">
        <v>3647.6123695231518</v>
      </c>
      <c r="K75" s="108">
        <v>2023</v>
      </c>
      <c r="L75" s="74" t="s">
        <v>4</v>
      </c>
      <c r="M75" s="94">
        <v>21.455365351743268</v>
      </c>
      <c r="S75" s="90">
        <v>2023</v>
      </c>
      <c r="T75" s="74" t="s">
        <v>4</v>
      </c>
      <c r="U75" s="93">
        <v>2479058.4927634271</v>
      </c>
      <c r="V75" s="93">
        <v>296269.51841465826</v>
      </c>
      <c r="W75" s="93">
        <v>1654925.5501332108</v>
      </c>
      <c r="X75" s="93">
        <v>-32.631291573263397</v>
      </c>
      <c r="Y75" s="94">
        <v>4430220.9300197233</v>
      </c>
      <c r="AA75" s="110">
        <v>2023</v>
      </c>
      <c r="AB75" s="74" t="s">
        <v>4</v>
      </c>
      <c r="AC75" s="94">
        <v>-1.8302054000441217</v>
      </c>
    </row>
    <row r="76" spans="2:29" x14ac:dyDescent="0.25">
      <c r="B76" s="90">
        <v>2023</v>
      </c>
      <c r="C76" s="74" t="s">
        <v>57</v>
      </c>
      <c r="D76" s="74" t="s">
        <v>18</v>
      </c>
      <c r="E76" s="94">
        <v>572.07964336961868</v>
      </c>
      <c r="G76" s="90">
        <v>2023</v>
      </c>
      <c r="H76" s="74" t="s">
        <v>2</v>
      </c>
      <c r="I76" s="94">
        <v>11545.564795039965</v>
      </c>
      <c r="K76" s="108">
        <v>2023</v>
      </c>
      <c r="L76" s="74" t="s">
        <v>2</v>
      </c>
      <c r="M76" s="94">
        <v>21.652904066592214</v>
      </c>
      <c r="S76" s="90">
        <v>2023</v>
      </c>
      <c r="T76" s="74" t="s">
        <v>2</v>
      </c>
      <c r="U76" s="93">
        <v>295192.10424497584</v>
      </c>
      <c r="V76" s="93">
        <v>13449427.257335955</v>
      </c>
      <c r="W76" s="93">
        <v>301160.12929591851</v>
      </c>
      <c r="X76" s="93">
        <v>-264.62682063806704</v>
      </c>
      <c r="Y76" s="94">
        <v>14045514.864056211</v>
      </c>
      <c r="AA76" s="110">
        <v>2023</v>
      </c>
      <c r="AB76" s="74" t="s">
        <v>2</v>
      </c>
      <c r="AC76" s="94">
        <v>-3.0998965077658056</v>
      </c>
    </row>
    <row r="77" spans="2:29" x14ac:dyDescent="0.25">
      <c r="B77" s="90">
        <v>2024</v>
      </c>
      <c r="C77" s="74" t="s">
        <v>56</v>
      </c>
      <c r="D77" s="74" t="s">
        <v>1</v>
      </c>
      <c r="E77" s="94">
        <v>32289.425209537356</v>
      </c>
      <c r="G77" s="90">
        <v>2024</v>
      </c>
      <c r="H77" s="74" t="s">
        <v>15</v>
      </c>
      <c r="I77" s="94">
        <v>1724.6610769267566</v>
      </c>
      <c r="K77" s="108">
        <v>2024</v>
      </c>
      <c r="L77" s="74" t="s">
        <v>15</v>
      </c>
      <c r="M77" s="94">
        <v>30.428352763422566</v>
      </c>
      <c r="S77" s="90">
        <v>2024</v>
      </c>
      <c r="T77" s="74" t="s">
        <v>15</v>
      </c>
      <c r="U77" s="93">
        <v>1029456.2161785557</v>
      </c>
      <c r="V77" s="93">
        <v>557708.95631133264</v>
      </c>
      <c r="W77" s="93">
        <v>662308.63104667002</v>
      </c>
      <c r="X77" s="93">
        <v>-26.770149084810644</v>
      </c>
      <c r="Y77" s="94">
        <v>2249447.0333874738</v>
      </c>
      <c r="AA77" s="110">
        <v>2024</v>
      </c>
      <c r="AB77" s="74" t="s">
        <v>15</v>
      </c>
      <c r="AC77" s="94">
        <v>6.509908553595352</v>
      </c>
    </row>
    <row r="78" spans="2:29" x14ac:dyDescent="0.25">
      <c r="B78" s="90">
        <v>2024</v>
      </c>
      <c r="C78" s="74" t="s">
        <v>56</v>
      </c>
      <c r="D78" s="74" t="s">
        <v>2</v>
      </c>
      <c r="E78" s="94">
        <v>18417.764583403474</v>
      </c>
      <c r="G78" s="90">
        <v>2024</v>
      </c>
      <c r="H78" s="74" t="s">
        <v>3</v>
      </c>
      <c r="I78" s="94">
        <v>6167.0700760114732</v>
      </c>
      <c r="K78" s="108">
        <v>2024</v>
      </c>
      <c r="L78" s="74" t="s">
        <v>3</v>
      </c>
      <c r="M78" s="94">
        <v>27.007743005167058</v>
      </c>
      <c r="S78" s="90">
        <v>2024</v>
      </c>
      <c r="T78" s="74" t="s">
        <v>3</v>
      </c>
      <c r="U78" s="93">
        <v>1598387.3619060209</v>
      </c>
      <c r="V78" s="93">
        <v>1286482.6349956621</v>
      </c>
      <c r="W78" s="93">
        <v>4949178.8025653828</v>
      </c>
      <c r="X78" s="93">
        <v>-1392.2863778538442</v>
      </c>
      <c r="Y78" s="94">
        <v>7832656.5130892126</v>
      </c>
      <c r="AA78" s="110">
        <v>2024</v>
      </c>
      <c r="AB78" s="74" t="s">
        <v>3</v>
      </c>
      <c r="AC78" s="94">
        <v>33.138034107568672</v>
      </c>
    </row>
    <row r="79" spans="2:29" x14ac:dyDescent="0.25">
      <c r="B79" s="90">
        <v>2024</v>
      </c>
      <c r="C79" s="74" t="s">
        <v>56</v>
      </c>
      <c r="D79" s="74" t="s">
        <v>3</v>
      </c>
      <c r="E79" s="94">
        <v>7832.6565130892122</v>
      </c>
      <c r="G79" s="90">
        <v>2024</v>
      </c>
      <c r="H79" s="74" t="s">
        <v>11</v>
      </c>
      <c r="I79" s="94">
        <v>2269.8150362272586</v>
      </c>
      <c r="K79" s="108">
        <v>2024</v>
      </c>
      <c r="L79" s="74" t="s">
        <v>11</v>
      </c>
      <c r="M79" s="94">
        <v>30.484316439200683</v>
      </c>
      <c r="S79" s="90">
        <v>2024</v>
      </c>
      <c r="T79" s="74" t="s">
        <v>11</v>
      </c>
      <c r="U79" s="93">
        <v>1455154.3487382079</v>
      </c>
      <c r="V79" s="93">
        <v>191435.48031957776</v>
      </c>
      <c r="W79" s="93">
        <v>1315169.2010751418</v>
      </c>
      <c r="X79" s="93">
        <v>-6.3956775930423531</v>
      </c>
      <c r="Y79" s="94">
        <v>2961752.6344553344</v>
      </c>
      <c r="AA79" s="110">
        <v>2024</v>
      </c>
      <c r="AB79" s="74" t="s">
        <v>11</v>
      </c>
      <c r="AC79" s="94">
        <v>8.7334468778138756</v>
      </c>
    </row>
    <row r="80" spans="2:29" x14ac:dyDescent="0.25">
      <c r="B80" s="90">
        <v>2024</v>
      </c>
      <c r="C80" s="74" t="s">
        <v>57</v>
      </c>
      <c r="D80" s="74" t="s">
        <v>4</v>
      </c>
      <c r="E80" s="94">
        <v>6046.640032702674</v>
      </c>
      <c r="G80" s="90">
        <v>2024</v>
      </c>
      <c r="H80" s="74" t="s">
        <v>5</v>
      </c>
      <c r="I80" s="94">
        <v>4196.2296906021047</v>
      </c>
      <c r="K80" s="108">
        <v>2024</v>
      </c>
      <c r="L80" s="74" t="s">
        <v>5</v>
      </c>
      <c r="M80" s="94">
        <v>23.774346842063039</v>
      </c>
      <c r="S80" s="90">
        <v>2024</v>
      </c>
      <c r="T80" s="74" t="s">
        <v>5</v>
      </c>
      <c r="U80" s="93">
        <v>749159.3711120775</v>
      </c>
      <c r="V80" s="93">
        <v>3372766.0184852458</v>
      </c>
      <c r="W80" s="93">
        <v>1072338.2073320255</v>
      </c>
      <c r="X80" s="93">
        <v>-407.70539386995267</v>
      </c>
      <c r="Y80" s="94">
        <v>5193855.8915354786</v>
      </c>
      <c r="AA80" s="110">
        <v>2024</v>
      </c>
      <c r="AB80" s="74" t="s">
        <v>5</v>
      </c>
      <c r="AC80" s="94">
        <v>-1.0978789557493513</v>
      </c>
    </row>
    <row r="81" spans="2:29" x14ac:dyDescent="0.25">
      <c r="B81" s="90">
        <v>2024</v>
      </c>
      <c r="C81" s="74" t="s">
        <v>56</v>
      </c>
      <c r="D81" s="74" t="s">
        <v>5</v>
      </c>
      <c r="E81" s="94">
        <v>5193.8558915354779</v>
      </c>
      <c r="G81" s="90">
        <v>2024</v>
      </c>
      <c r="H81" s="74" t="s">
        <v>18</v>
      </c>
      <c r="I81" s="94">
        <v>498.71381712029023</v>
      </c>
      <c r="K81" s="108">
        <v>2024</v>
      </c>
      <c r="L81" s="74" t="s">
        <v>18</v>
      </c>
      <c r="M81" s="94">
        <v>26.483185739638856</v>
      </c>
      <c r="S81" s="90">
        <v>2024</v>
      </c>
      <c r="T81" s="74" t="s">
        <v>18</v>
      </c>
      <c r="U81" s="93">
        <v>140481.66827403774</v>
      </c>
      <c r="V81" s="93">
        <v>191834.65503124153</v>
      </c>
      <c r="W81" s="93">
        <v>298483.53679842805</v>
      </c>
      <c r="X81" s="93">
        <v>-10.736486207637164</v>
      </c>
      <c r="Y81" s="94">
        <v>630789.1236174996</v>
      </c>
      <c r="AA81" s="110">
        <v>2024</v>
      </c>
      <c r="AB81" s="74" t="s">
        <v>18</v>
      </c>
      <c r="AC81" s="94">
        <v>-12.824407772525305</v>
      </c>
    </row>
    <row r="82" spans="2:29" x14ac:dyDescent="0.25">
      <c r="B82" s="90">
        <v>2024</v>
      </c>
      <c r="C82" s="74" t="s">
        <v>56</v>
      </c>
      <c r="D82" s="74" t="s">
        <v>6</v>
      </c>
      <c r="E82" s="94">
        <v>4615.7571603466004</v>
      </c>
      <c r="G82" s="90">
        <v>2024</v>
      </c>
      <c r="H82" s="74" t="s">
        <v>13</v>
      </c>
      <c r="I82" s="94">
        <v>1809.5915566488582</v>
      </c>
      <c r="K82" s="108">
        <v>2024</v>
      </c>
      <c r="L82" s="74" t="s">
        <v>13</v>
      </c>
      <c r="M82" s="94">
        <v>30.593994512302316</v>
      </c>
      <c r="S82" s="90">
        <v>2024</v>
      </c>
      <c r="T82" s="74" t="s">
        <v>13</v>
      </c>
      <c r="U82" s="93">
        <v>1016247.0980906006</v>
      </c>
      <c r="V82" s="93">
        <v>304471.54432347009</v>
      </c>
      <c r="W82" s="93">
        <v>1042515.6296911512</v>
      </c>
      <c r="X82" s="93">
        <v>-16.373920125813076</v>
      </c>
      <c r="Y82" s="94">
        <v>2363217.8981850957</v>
      </c>
      <c r="AA82" s="110">
        <v>2024</v>
      </c>
      <c r="AB82" s="74" t="s">
        <v>13</v>
      </c>
      <c r="AC82" s="94">
        <v>-3.1392706034002771</v>
      </c>
    </row>
    <row r="83" spans="2:29" x14ac:dyDescent="0.25">
      <c r="B83" s="90">
        <v>2024</v>
      </c>
      <c r="C83" s="74" t="s">
        <v>57</v>
      </c>
      <c r="D83" s="74" t="s">
        <v>7</v>
      </c>
      <c r="E83" s="94">
        <v>4357.9843587192972</v>
      </c>
      <c r="G83" s="90">
        <v>2024</v>
      </c>
      <c r="H83" s="74" t="s">
        <v>6</v>
      </c>
      <c r="I83" s="94">
        <v>3560.2964493261375</v>
      </c>
      <c r="K83" s="108">
        <v>2024</v>
      </c>
      <c r="L83" s="74" t="s">
        <v>6</v>
      </c>
      <c r="M83" s="94">
        <v>29.645304149328098</v>
      </c>
      <c r="S83" s="90">
        <v>2024</v>
      </c>
      <c r="T83" s="74" t="s">
        <v>6</v>
      </c>
      <c r="U83" s="93">
        <v>2574292.9500586186</v>
      </c>
      <c r="V83" s="93">
        <v>467713.56110136188</v>
      </c>
      <c r="W83" s="93">
        <v>1573780.7095268336</v>
      </c>
      <c r="X83" s="93">
        <v>-30.060340214968157</v>
      </c>
      <c r="Y83" s="94">
        <v>4615757.1603465993</v>
      </c>
      <c r="AA83" s="110">
        <v>2024</v>
      </c>
      <c r="AB83" s="74" t="s">
        <v>6</v>
      </c>
      <c r="AC83" s="94">
        <v>4.7690498041480964</v>
      </c>
    </row>
    <row r="84" spans="2:29" x14ac:dyDescent="0.25">
      <c r="B84" s="90">
        <v>2024</v>
      </c>
      <c r="C84" s="74" t="s">
        <v>57</v>
      </c>
      <c r="D84" s="74" t="s">
        <v>8</v>
      </c>
      <c r="E84" s="94">
        <v>3567.6597402225548</v>
      </c>
      <c r="G84" s="90">
        <v>2024</v>
      </c>
      <c r="H84" s="74" t="s">
        <v>17</v>
      </c>
      <c r="I84" s="94">
        <v>681.61260335027714</v>
      </c>
      <c r="K84" s="108">
        <v>2024</v>
      </c>
      <c r="L84" s="74" t="s">
        <v>17</v>
      </c>
      <c r="M84" s="94">
        <v>21.991778606592007</v>
      </c>
      <c r="S84" s="90">
        <v>2024</v>
      </c>
      <c r="T84" s="74" t="s">
        <v>17</v>
      </c>
      <c r="U84" s="93">
        <v>61190.72267362148</v>
      </c>
      <c r="V84" s="93">
        <v>379755.26255536679</v>
      </c>
      <c r="W84" s="93">
        <v>391434.78660165251</v>
      </c>
      <c r="X84" s="93">
        <v>-869.43379694230873</v>
      </c>
      <c r="Y84" s="94">
        <v>831511.33803369838</v>
      </c>
      <c r="AA84" s="110">
        <v>2024</v>
      </c>
      <c r="AB84" s="74" t="s">
        <v>17</v>
      </c>
      <c r="AC84" s="94">
        <v>-5.093077816995347</v>
      </c>
    </row>
    <row r="85" spans="2:29" x14ac:dyDescent="0.25">
      <c r="B85" s="90">
        <v>2024</v>
      </c>
      <c r="C85" s="74" t="s">
        <v>57</v>
      </c>
      <c r="D85" s="74" t="s">
        <v>9</v>
      </c>
      <c r="E85" s="94">
        <v>3269.3886357161209</v>
      </c>
      <c r="G85" s="90">
        <v>2024</v>
      </c>
      <c r="H85" s="74" t="s">
        <v>8</v>
      </c>
      <c r="I85" s="94">
        <v>2744.9884916887177</v>
      </c>
      <c r="K85" s="108">
        <v>2024</v>
      </c>
      <c r="L85" s="74" t="s">
        <v>8</v>
      </c>
      <c r="M85" s="94">
        <v>29.969934337601899</v>
      </c>
      <c r="S85" s="90">
        <v>2024</v>
      </c>
      <c r="T85" s="74" t="s">
        <v>8</v>
      </c>
      <c r="U85" s="93">
        <v>1373618.2111032996</v>
      </c>
      <c r="V85" s="93">
        <v>299430.36955244682</v>
      </c>
      <c r="W85" s="93">
        <v>1894654.5308200868</v>
      </c>
      <c r="X85" s="93">
        <v>-43.371253278710896</v>
      </c>
      <c r="Y85" s="94">
        <v>3567659.7402225547</v>
      </c>
      <c r="AA85" s="110">
        <v>2024</v>
      </c>
      <c r="AB85" s="74" t="s">
        <v>8</v>
      </c>
      <c r="AC85" s="94">
        <v>-4.8861838218777223</v>
      </c>
    </row>
    <row r="86" spans="2:29" x14ac:dyDescent="0.25">
      <c r="B86" s="90">
        <v>2024</v>
      </c>
      <c r="C86" s="74" t="s">
        <v>57</v>
      </c>
      <c r="D86" s="74" t="s">
        <v>10</v>
      </c>
      <c r="E86" s="94">
        <v>3089.0281925065569</v>
      </c>
      <c r="G86" s="90">
        <v>2024</v>
      </c>
      <c r="H86" s="74" t="s">
        <v>9</v>
      </c>
      <c r="I86" s="94">
        <v>2541.4459513532038</v>
      </c>
      <c r="K86" s="108">
        <v>2024</v>
      </c>
      <c r="L86" s="74" t="s">
        <v>9</v>
      </c>
      <c r="M86" s="94">
        <v>28.642855220876157</v>
      </c>
      <c r="S86" s="90">
        <v>2024</v>
      </c>
      <c r="T86" s="74" t="s">
        <v>9</v>
      </c>
      <c r="U86" s="93">
        <v>969711.76049717586</v>
      </c>
      <c r="V86" s="93">
        <v>482505.62488713069</v>
      </c>
      <c r="W86" s="93">
        <v>1817306.9322438189</v>
      </c>
      <c r="X86" s="93">
        <v>-135.68191200500152</v>
      </c>
      <c r="Y86" s="94">
        <v>3269388.6357161207</v>
      </c>
      <c r="AA86" s="110">
        <v>2024</v>
      </c>
      <c r="AB86" s="74" t="s">
        <v>9</v>
      </c>
      <c r="AC86" s="94">
        <v>2.5707602921929436</v>
      </c>
    </row>
    <row r="87" spans="2:29" x14ac:dyDescent="0.25">
      <c r="B87" s="90">
        <v>2024</v>
      </c>
      <c r="C87" s="74" t="s">
        <v>57</v>
      </c>
      <c r="D87" s="74" t="s">
        <v>11</v>
      </c>
      <c r="E87" s="94">
        <v>2961.7526344553335</v>
      </c>
      <c r="G87" s="90">
        <v>2024</v>
      </c>
      <c r="H87" s="74" t="s">
        <v>1</v>
      </c>
      <c r="I87" s="94">
        <v>25115.699628634746</v>
      </c>
      <c r="K87" s="108">
        <v>2024</v>
      </c>
      <c r="L87" s="74" t="s">
        <v>1</v>
      </c>
      <c r="M87" s="94">
        <v>28.562714505168515</v>
      </c>
      <c r="S87" s="90">
        <v>2024</v>
      </c>
      <c r="T87" s="74" t="s">
        <v>1</v>
      </c>
      <c r="U87" s="93">
        <v>1145076.6411172517</v>
      </c>
      <c r="V87" s="93">
        <v>7146622.8533264725</v>
      </c>
      <c r="W87" s="93">
        <v>24040681.136540618</v>
      </c>
      <c r="X87" s="93">
        <v>-42955.421446980945</v>
      </c>
      <c r="Y87" s="94">
        <v>32289425.209537361</v>
      </c>
      <c r="AA87" s="110">
        <v>2024</v>
      </c>
      <c r="AB87" s="74" t="s">
        <v>1</v>
      </c>
      <c r="AC87" s="94">
        <v>3.6836985041168049</v>
      </c>
    </row>
    <row r="88" spans="2:29" x14ac:dyDescent="0.25">
      <c r="B88" s="90">
        <v>2024</v>
      </c>
      <c r="C88" s="74" t="s">
        <v>57</v>
      </c>
      <c r="D88" s="74" t="s">
        <v>12</v>
      </c>
      <c r="E88" s="94">
        <v>2732.118369571519</v>
      </c>
      <c r="G88" s="90">
        <v>2024</v>
      </c>
      <c r="H88" s="74" t="s">
        <v>14</v>
      </c>
      <c r="I88" s="94">
        <v>1751.116223236143</v>
      </c>
      <c r="K88" s="108">
        <v>2024</v>
      </c>
      <c r="L88" s="74" t="s">
        <v>14</v>
      </c>
      <c r="M88" s="94">
        <v>31.271300969482354</v>
      </c>
      <c r="S88" s="90">
        <v>2024</v>
      </c>
      <c r="T88" s="74" t="s">
        <v>14</v>
      </c>
      <c r="U88" s="93">
        <v>1019184.5587242913</v>
      </c>
      <c r="V88" s="93">
        <v>340492.54229285894</v>
      </c>
      <c r="W88" s="93">
        <v>939046.22827756079</v>
      </c>
      <c r="X88" s="93">
        <v>-10.281564961944063</v>
      </c>
      <c r="Y88" s="94">
        <v>2298713.0477297488</v>
      </c>
      <c r="AA88" s="110">
        <v>2024</v>
      </c>
      <c r="AB88" s="74" t="s">
        <v>14</v>
      </c>
      <c r="AC88" s="94">
        <v>-0.79491745192856911</v>
      </c>
    </row>
    <row r="89" spans="2:29" x14ac:dyDescent="0.25">
      <c r="B89" s="90">
        <v>2024</v>
      </c>
      <c r="C89" s="74" t="s">
        <v>57</v>
      </c>
      <c r="D89" s="74" t="s">
        <v>13</v>
      </c>
      <c r="E89" s="94">
        <v>2363.2178981850957</v>
      </c>
      <c r="G89" s="90">
        <v>2024</v>
      </c>
      <c r="H89" s="74" t="s">
        <v>10</v>
      </c>
      <c r="I89" s="94">
        <v>2216.5124778811337</v>
      </c>
      <c r="K89" s="108">
        <v>2024</v>
      </c>
      <c r="L89" s="74" t="s">
        <v>10</v>
      </c>
      <c r="M89" s="94">
        <v>39.364349325003644</v>
      </c>
      <c r="S89" s="90">
        <v>2024</v>
      </c>
      <c r="T89" s="74" t="s">
        <v>10</v>
      </c>
      <c r="U89" s="93">
        <v>1055511.3150471458</v>
      </c>
      <c r="V89" s="93">
        <v>1303940.2645270303</v>
      </c>
      <c r="W89" s="93">
        <v>729618.03302458813</v>
      </c>
      <c r="X89" s="93">
        <v>-41.42009220724637</v>
      </c>
      <c r="Y89" s="94">
        <v>3089028.1925065569</v>
      </c>
      <c r="AA89" s="110">
        <v>2024</v>
      </c>
      <c r="AB89" s="74" t="s">
        <v>10</v>
      </c>
      <c r="AC89" s="94">
        <v>-6.2043218657555599</v>
      </c>
    </row>
    <row r="90" spans="2:29" x14ac:dyDescent="0.25">
      <c r="B90" s="90">
        <v>2024</v>
      </c>
      <c r="C90" s="74" t="s">
        <v>57</v>
      </c>
      <c r="D90" s="74" t="s">
        <v>14</v>
      </c>
      <c r="E90" s="94">
        <v>2298.7130477297496</v>
      </c>
      <c r="G90" s="90">
        <v>2024</v>
      </c>
      <c r="H90" s="74" t="s">
        <v>7</v>
      </c>
      <c r="I90" s="94">
        <v>3331.2957501832625</v>
      </c>
      <c r="K90" s="108">
        <v>2024</v>
      </c>
      <c r="L90" s="74" t="s">
        <v>7</v>
      </c>
      <c r="M90" s="94">
        <v>30.819497442685929</v>
      </c>
      <c r="S90" s="90">
        <v>2024</v>
      </c>
      <c r="T90" s="74" t="s">
        <v>7</v>
      </c>
      <c r="U90" s="93">
        <v>2488529.11581012</v>
      </c>
      <c r="V90" s="93">
        <v>322654.37602480047</v>
      </c>
      <c r="W90" s="93">
        <v>1546813.844887122</v>
      </c>
      <c r="X90" s="93">
        <v>-12.978002745151571</v>
      </c>
      <c r="Y90" s="94">
        <v>4357984.3587192977</v>
      </c>
      <c r="AA90" s="110">
        <v>2024</v>
      </c>
      <c r="AB90" s="74" t="s">
        <v>7</v>
      </c>
      <c r="AC90" s="94">
        <v>1.826370509662496</v>
      </c>
    </row>
    <row r="91" spans="2:29" x14ac:dyDescent="0.25">
      <c r="B91" s="90">
        <v>2024</v>
      </c>
      <c r="C91" s="74" t="s">
        <v>57</v>
      </c>
      <c r="D91" s="74" t="s">
        <v>15</v>
      </c>
      <c r="E91" s="94">
        <v>2249.4470333874729</v>
      </c>
      <c r="G91" s="90">
        <v>2024</v>
      </c>
      <c r="H91" s="74" t="s">
        <v>12</v>
      </c>
      <c r="I91" s="94">
        <v>2107.2015932313971</v>
      </c>
      <c r="K91" s="108">
        <v>2024</v>
      </c>
      <c r="L91" s="74" t="s">
        <v>12</v>
      </c>
      <c r="M91" s="94">
        <v>29.656240691324228</v>
      </c>
      <c r="S91" s="90">
        <v>2024</v>
      </c>
      <c r="T91" s="74" t="s">
        <v>12</v>
      </c>
      <c r="U91" s="93">
        <v>1443069.2900786316</v>
      </c>
      <c r="V91" s="93">
        <v>291552.16250485025</v>
      </c>
      <c r="W91" s="93">
        <v>997515.60227424488</v>
      </c>
      <c r="X91" s="93">
        <v>-18.685286207520658</v>
      </c>
      <c r="Y91" s="94">
        <v>2732118.3695715191</v>
      </c>
      <c r="AA91" s="110">
        <v>2024</v>
      </c>
      <c r="AB91" s="74" t="s">
        <v>12</v>
      </c>
      <c r="AC91" s="94">
        <v>2.746381239540014</v>
      </c>
    </row>
    <row r="92" spans="2:29" x14ac:dyDescent="0.25">
      <c r="B92" s="90">
        <v>2024</v>
      </c>
      <c r="C92" s="74" t="s">
        <v>56</v>
      </c>
      <c r="D92" s="74" t="s">
        <v>16</v>
      </c>
      <c r="E92" s="94">
        <v>1263.378045821421</v>
      </c>
      <c r="G92" s="90">
        <v>2024</v>
      </c>
      <c r="H92" s="74" t="s">
        <v>16</v>
      </c>
      <c r="I92" s="94">
        <v>1002.8158437836182</v>
      </c>
      <c r="K92" s="108">
        <v>2024</v>
      </c>
      <c r="L92" s="74" t="s">
        <v>16</v>
      </c>
      <c r="M92" s="94">
        <v>25.983055977127691</v>
      </c>
      <c r="S92" s="90">
        <v>2024</v>
      </c>
      <c r="T92" s="74" t="s">
        <v>16</v>
      </c>
      <c r="U92" s="93">
        <v>319230.39393059246</v>
      </c>
      <c r="V92" s="93">
        <v>388782.44088081672</v>
      </c>
      <c r="W92" s="93">
        <v>555552.62691874383</v>
      </c>
      <c r="X92" s="93">
        <v>-187.41590873186041</v>
      </c>
      <c r="Y92" s="94">
        <v>1263378.0458214213</v>
      </c>
      <c r="AA92" s="110">
        <v>2024</v>
      </c>
      <c r="AB92" s="74" t="s">
        <v>16</v>
      </c>
      <c r="AC92" s="94">
        <v>18.270230983513287</v>
      </c>
    </row>
    <row r="93" spans="2:29" x14ac:dyDescent="0.25">
      <c r="B93" s="90">
        <v>2024</v>
      </c>
      <c r="C93" s="74" t="s">
        <v>57</v>
      </c>
      <c r="D93" s="74" t="s">
        <v>17</v>
      </c>
      <c r="E93" s="94">
        <v>831.51133803369828</v>
      </c>
      <c r="G93" s="90">
        <v>2024</v>
      </c>
      <c r="H93" s="74" t="s">
        <v>4</v>
      </c>
      <c r="I93" s="94">
        <v>4618.2159280937731</v>
      </c>
      <c r="K93" s="108">
        <v>2024</v>
      </c>
      <c r="L93" s="74" t="s">
        <v>4</v>
      </c>
      <c r="M93" s="94">
        <v>30.930214759328095</v>
      </c>
      <c r="S93" s="90">
        <v>2024</v>
      </c>
      <c r="T93" s="74" t="s">
        <v>4</v>
      </c>
      <c r="U93" s="93">
        <v>3578790.3949997434</v>
      </c>
      <c r="V93" s="93">
        <v>325131.65068122762</v>
      </c>
      <c r="W93" s="93">
        <v>2142725.9914825079</v>
      </c>
      <c r="X93" s="93">
        <v>-8.0044608055712416</v>
      </c>
      <c r="Y93" s="94">
        <v>6046640.0327026732</v>
      </c>
      <c r="AA93" s="110">
        <v>2024</v>
      </c>
      <c r="AB93" s="74" t="s">
        <v>4</v>
      </c>
      <c r="AC93" s="94">
        <v>4.2434677873550868</v>
      </c>
    </row>
    <row r="94" spans="2:29" x14ac:dyDescent="0.25">
      <c r="B94" s="90">
        <v>2024</v>
      </c>
      <c r="C94" s="74" t="s">
        <v>57</v>
      </c>
      <c r="D94" s="74" t="s">
        <v>18</v>
      </c>
      <c r="E94" s="94">
        <v>630.78912361749963</v>
      </c>
      <c r="G94" s="90">
        <v>2024</v>
      </c>
      <c r="H94" s="74" t="s">
        <v>2</v>
      </c>
      <c r="I94" s="94">
        <v>15000.904811563943</v>
      </c>
      <c r="K94" s="108">
        <v>2024</v>
      </c>
      <c r="L94" s="74" t="s">
        <v>2</v>
      </c>
      <c r="M94" s="94">
        <v>22.777691177705051</v>
      </c>
      <c r="S94" s="90">
        <v>2024</v>
      </c>
      <c r="T94" s="74" t="s">
        <v>2</v>
      </c>
      <c r="U94" s="93">
        <v>400076.12838190346</v>
      </c>
      <c r="V94" s="93">
        <v>17590074.186473727</v>
      </c>
      <c r="W94" s="93">
        <v>427681.13833146414</v>
      </c>
      <c r="X94" s="93">
        <v>-66.869783622831648</v>
      </c>
      <c r="Y94" s="94">
        <v>18417764.583403476</v>
      </c>
      <c r="AA94" s="110">
        <v>2024</v>
      </c>
      <c r="AB94" s="74" t="s">
        <v>2</v>
      </c>
      <c r="AC94" s="94">
        <v>6.8020998642966219</v>
      </c>
    </row>
    <row r="95" spans="2:29" x14ac:dyDescent="0.25">
      <c r="B95" s="90">
        <v>2025</v>
      </c>
      <c r="C95" s="74" t="s">
        <v>56</v>
      </c>
      <c r="D95" s="74" t="s">
        <v>1</v>
      </c>
      <c r="E95" s="94">
        <v>40810.255367272046</v>
      </c>
      <c r="G95" s="90">
        <v>2025</v>
      </c>
      <c r="H95" s="74" t="s">
        <v>15</v>
      </c>
      <c r="I95" s="94">
        <v>2321.0441736126309</v>
      </c>
      <c r="K95" s="108">
        <v>2025</v>
      </c>
      <c r="L95" s="74" t="s">
        <v>15</v>
      </c>
      <c r="M95" s="94">
        <v>26.638410155465351</v>
      </c>
      <c r="S95" s="90">
        <v>2025</v>
      </c>
      <c r="T95" s="74" t="s">
        <v>15</v>
      </c>
      <c r="U95" s="93">
        <v>1432395.7925106031</v>
      </c>
      <c r="V95" s="93">
        <v>458917.08472802886</v>
      </c>
      <c r="W95" s="93">
        <v>1046915.563630414</v>
      </c>
      <c r="X95" s="93">
        <v>1104.999600048501</v>
      </c>
      <c r="Y95" s="94">
        <v>2939333.4404690946</v>
      </c>
      <c r="AA95" s="110">
        <v>2025</v>
      </c>
      <c r="AB95" s="74" t="s">
        <v>15</v>
      </c>
      <c r="AC95" s="94">
        <v>3.1828773544109197</v>
      </c>
    </row>
    <row r="96" spans="2:29" x14ac:dyDescent="0.25">
      <c r="B96" s="90">
        <v>2025</v>
      </c>
      <c r="C96" s="74" t="s">
        <v>56</v>
      </c>
      <c r="D96" s="74" t="s">
        <v>2</v>
      </c>
      <c r="E96" s="94">
        <v>18070.900181588386</v>
      </c>
      <c r="G96" s="90">
        <v>2025</v>
      </c>
      <c r="H96" s="74" t="s">
        <v>3</v>
      </c>
      <c r="I96" s="94">
        <v>8146.4591928993268</v>
      </c>
      <c r="K96" s="108">
        <v>2025</v>
      </c>
      <c r="L96" s="74" t="s">
        <v>3</v>
      </c>
      <c r="M96" s="94">
        <v>25.805234531954696</v>
      </c>
      <c r="S96" s="90">
        <v>2025</v>
      </c>
      <c r="T96" s="74" t="s">
        <v>3</v>
      </c>
      <c r="U96" s="93">
        <v>2309262.3879412264</v>
      </c>
      <c r="V96" s="93">
        <v>1510737.9354744495</v>
      </c>
      <c r="W96" s="93">
        <v>6406657.3403393915</v>
      </c>
      <c r="X96" s="93">
        <v>22014.429921915493</v>
      </c>
      <c r="Y96" s="94">
        <v>10248672.093676982</v>
      </c>
      <c r="AA96" s="110">
        <v>2025</v>
      </c>
      <c r="AB96" s="74" t="s">
        <v>3</v>
      </c>
      <c r="AC96" s="94">
        <v>4.0063378150914133</v>
      </c>
    </row>
    <row r="97" spans="2:29" x14ac:dyDescent="0.25">
      <c r="B97" s="90">
        <v>2025</v>
      </c>
      <c r="C97" s="74" t="s">
        <v>56</v>
      </c>
      <c r="D97" s="74" t="s">
        <v>3</v>
      </c>
      <c r="E97" s="94">
        <v>10248.67209367698</v>
      </c>
      <c r="G97" s="90">
        <v>2025</v>
      </c>
      <c r="H97" s="74" t="s">
        <v>11</v>
      </c>
      <c r="I97" s="94">
        <v>2980.0985624908844</v>
      </c>
      <c r="K97" s="108">
        <v>2025</v>
      </c>
      <c r="L97" s="74" t="s">
        <v>11</v>
      </c>
      <c r="M97" s="94">
        <v>30.63749822844315</v>
      </c>
      <c r="S97" s="90">
        <v>2025</v>
      </c>
      <c r="T97" s="74" t="s">
        <v>11</v>
      </c>
      <c r="U97" s="93">
        <v>2051372.7763521303</v>
      </c>
      <c r="V97" s="93">
        <v>198397.35866629207</v>
      </c>
      <c r="W97" s="93">
        <v>1643121.1801925406</v>
      </c>
      <c r="X97" s="93">
        <v>234.89156892683727</v>
      </c>
      <c r="Y97" s="94">
        <v>3893126.2067798893</v>
      </c>
      <c r="AA97" s="110">
        <v>2025</v>
      </c>
      <c r="AB97" s="74" t="s">
        <v>11</v>
      </c>
      <c r="AC97" s="94">
        <v>0.61942809882651773</v>
      </c>
    </row>
    <row r="98" spans="2:29" x14ac:dyDescent="0.25">
      <c r="B98" s="90">
        <v>2025</v>
      </c>
      <c r="C98" s="74" t="s">
        <v>57</v>
      </c>
      <c r="D98" s="74" t="s">
        <v>4</v>
      </c>
      <c r="E98" s="94">
        <v>8541.7431021613593</v>
      </c>
      <c r="G98" s="90">
        <v>2025</v>
      </c>
      <c r="H98" s="74" t="s">
        <v>5</v>
      </c>
      <c r="I98" s="94">
        <v>4945.5837284784548</v>
      </c>
      <c r="K98" s="108">
        <v>2025</v>
      </c>
      <c r="L98" s="74" t="s">
        <v>5</v>
      </c>
      <c r="M98" s="94">
        <v>10.141366058479122</v>
      </c>
      <c r="S98" s="90">
        <v>2025</v>
      </c>
      <c r="T98" s="74" t="s">
        <v>5</v>
      </c>
      <c r="U98" s="93">
        <v>1120517.0060587581</v>
      </c>
      <c r="V98" s="93">
        <v>2933892.0864574024</v>
      </c>
      <c r="W98" s="93">
        <v>1386165.9927584343</v>
      </c>
      <c r="X98" s="93">
        <v>6558.3928374427742</v>
      </c>
      <c r="Y98" s="94">
        <v>5447133.4781120373</v>
      </c>
      <c r="AA98" s="110">
        <v>2025</v>
      </c>
      <c r="AB98" s="74" t="s">
        <v>5</v>
      </c>
      <c r="AC98" s="94">
        <v>-4.7801126608390518</v>
      </c>
    </row>
    <row r="99" spans="2:29" x14ac:dyDescent="0.25">
      <c r="B99" s="90">
        <v>2025</v>
      </c>
      <c r="C99" s="74" t="s">
        <v>56</v>
      </c>
      <c r="D99" s="74" t="s">
        <v>5</v>
      </c>
      <c r="E99" s="94">
        <v>5447.1334781120358</v>
      </c>
      <c r="G99" s="90">
        <v>2025</v>
      </c>
      <c r="H99" s="74" t="s">
        <v>18</v>
      </c>
      <c r="I99" s="94">
        <v>634.6962635760782</v>
      </c>
      <c r="K99" s="108">
        <v>2025</v>
      </c>
      <c r="L99" s="74" t="s">
        <v>18</v>
      </c>
      <c r="M99" s="94">
        <v>20.425975038805603</v>
      </c>
      <c r="S99" s="90">
        <v>2025</v>
      </c>
      <c r="T99" s="74" t="s">
        <v>18</v>
      </c>
      <c r="U99" s="93">
        <v>186801.14164287641</v>
      </c>
      <c r="V99" s="93">
        <v>187815.02407297763</v>
      </c>
      <c r="W99" s="93">
        <v>389421.90179878066</v>
      </c>
      <c r="X99" s="93">
        <v>301.09643172523624</v>
      </c>
      <c r="Y99" s="94">
        <v>764339.16394635988</v>
      </c>
      <c r="AA99" s="110">
        <v>2025</v>
      </c>
      <c r="AB99" s="74" t="s">
        <v>18</v>
      </c>
      <c r="AC99" s="94">
        <v>0.61940509312709935</v>
      </c>
    </row>
    <row r="100" spans="2:29" x14ac:dyDescent="0.25">
      <c r="B100" s="90">
        <v>2025</v>
      </c>
      <c r="C100" s="74" t="s">
        <v>56</v>
      </c>
      <c r="D100" s="74" t="s">
        <v>6</v>
      </c>
      <c r="E100" s="94">
        <v>6176.8206142119961</v>
      </c>
      <c r="G100" s="90">
        <v>2025</v>
      </c>
      <c r="H100" s="74" t="s">
        <v>13</v>
      </c>
      <c r="I100" s="94">
        <v>2473.2949147109002</v>
      </c>
      <c r="K100" s="108">
        <v>2025</v>
      </c>
      <c r="L100" s="74" t="s">
        <v>13</v>
      </c>
      <c r="M100" s="94">
        <v>29.00602414286044</v>
      </c>
      <c r="S100" s="90">
        <v>2025</v>
      </c>
      <c r="T100" s="74" t="s">
        <v>13</v>
      </c>
      <c r="U100" s="93">
        <v>1474949.3957223375</v>
      </c>
      <c r="V100" s="93">
        <v>353555.44969688589</v>
      </c>
      <c r="W100" s="93">
        <v>1361744.4893699314</v>
      </c>
      <c r="X100" s="93">
        <v>450.10000692827867</v>
      </c>
      <c r="Y100" s="94">
        <v>3190699.4347960833</v>
      </c>
      <c r="AA100" s="110">
        <v>2025</v>
      </c>
      <c r="AB100" s="74" t="s">
        <v>13</v>
      </c>
      <c r="AC100" s="94">
        <v>4.6579291994335961</v>
      </c>
    </row>
    <row r="101" spans="2:29" x14ac:dyDescent="0.25">
      <c r="B101" s="90">
        <v>2025</v>
      </c>
      <c r="C101" s="74" t="s">
        <v>57</v>
      </c>
      <c r="D101" s="74" t="s">
        <v>7</v>
      </c>
      <c r="E101" s="94">
        <v>6102.8196998606963</v>
      </c>
      <c r="G101" s="90">
        <v>2025</v>
      </c>
      <c r="H101" s="74" t="s">
        <v>6</v>
      </c>
      <c r="I101" s="94">
        <v>4721.7913841635118</v>
      </c>
      <c r="K101" s="108">
        <v>2025</v>
      </c>
      <c r="L101" s="74" t="s">
        <v>6</v>
      </c>
      <c r="M101" s="94">
        <v>30.815195159373815</v>
      </c>
      <c r="S101" s="90">
        <v>2025</v>
      </c>
      <c r="T101" s="74" t="s">
        <v>6</v>
      </c>
      <c r="U101" s="93">
        <v>3480902.3242996777</v>
      </c>
      <c r="V101" s="93">
        <v>444200.06807680556</v>
      </c>
      <c r="W101" s="93">
        <v>2250941.9077388556</v>
      </c>
      <c r="X101" s="93">
        <v>776.31409665605645</v>
      </c>
      <c r="Y101" s="94">
        <v>6176820.6142119952</v>
      </c>
      <c r="AA101" s="110">
        <v>2025</v>
      </c>
      <c r="AB101" s="74" t="s">
        <v>6</v>
      </c>
      <c r="AC101" s="94">
        <v>2.2972227553008935</v>
      </c>
    </row>
    <row r="102" spans="2:29" x14ac:dyDescent="0.25">
      <c r="B102" s="90">
        <v>2025</v>
      </c>
      <c r="C102" s="74" t="s">
        <v>57</v>
      </c>
      <c r="D102" s="74" t="s">
        <v>8</v>
      </c>
      <c r="E102" s="94">
        <v>4717.9740260215367</v>
      </c>
      <c r="G102" s="90">
        <v>2025</v>
      </c>
      <c r="H102" s="74" t="s">
        <v>17</v>
      </c>
      <c r="I102" s="94">
        <v>907.14900175722414</v>
      </c>
      <c r="K102" s="108">
        <v>2025</v>
      </c>
      <c r="L102" s="74" t="s">
        <v>17</v>
      </c>
      <c r="M102" s="94">
        <v>15.172305664434219</v>
      </c>
      <c r="S102" s="90">
        <v>2025</v>
      </c>
      <c r="T102" s="74" t="s">
        <v>17</v>
      </c>
      <c r="U102" s="93">
        <v>88707.699805794633</v>
      </c>
      <c r="V102" s="93">
        <v>417856.32246256876</v>
      </c>
      <c r="W102" s="93">
        <v>524075.94663943513</v>
      </c>
      <c r="X102" s="93">
        <v>14144.452227895352</v>
      </c>
      <c r="Y102" s="94">
        <v>1044784.4211356939</v>
      </c>
      <c r="AA102" s="110">
        <v>2025</v>
      </c>
      <c r="AB102" s="74" t="s">
        <v>17</v>
      </c>
      <c r="AC102" s="94">
        <v>9.096407981927058</v>
      </c>
    </row>
    <row r="103" spans="2:29" x14ac:dyDescent="0.25">
      <c r="B103" s="90">
        <v>2025</v>
      </c>
      <c r="C103" s="74" t="s">
        <v>57</v>
      </c>
      <c r="D103" s="74" t="s">
        <v>9</v>
      </c>
      <c r="E103" s="94">
        <v>4134.4627445200867</v>
      </c>
      <c r="G103" s="90">
        <v>2025</v>
      </c>
      <c r="H103" s="74" t="s">
        <v>8</v>
      </c>
      <c r="I103" s="94">
        <v>3675.3268564570722</v>
      </c>
      <c r="K103" s="108">
        <v>2025</v>
      </c>
      <c r="L103" s="74" t="s">
        <v>8</v>
      </c>
      <c r="M103" s="94">
        <v>28.368828414067934</v>
      </c>
      <c r="S103" s="90">
        <v>2025</v>
      </c>
      <c r="T103" s="74" t="s">
        <v>8</v>
      </c>
      <c r="U103" s="93">
        <v>1955033.3950694033</v>
      </c>
      <c r="V103" s="93">
        <v>351618.02646125434</v>
      </c>
      <c r="W103" s="93">
        <v>2410413.2505837926</v>
      </c>
      <c r="X103" s="93">
        <v>909.35390708524369</v>
      </c>
      <c r="Y103" s="94">
        <v>4717974.0260215355</v>
      </c>
      <c r="AA103" s="110">
        <v>2025</v>
      </c>
      <c r="AB103" s="74" t="s">
        <v>8</v>
      </c>
      <c r="AC103" s="94">
        <v>3.0178639240916283</v>
      </c>
    </row>
    <row r="104" spans="2:29" x14ac:dyDescent="0.25">
      <c r="B104" s="90">
        <v>2025</v>
      </c>
      <c r="C104" s="74" t="s">
        <v>57</v>
      </c>
      <c r="D104" s="74" t="s">
        <v>10</v>
      </c>
      <c r="E104" s="94">
        <v>3720.1121273291701</v>
      </c>
      <c r="G104" s="90">
        <v>2025</v>
      </c>
      <c r="H104" s="74" t="s">
        <v>9</v>
      </c>
      <c r="I104" s="94">
        <v>3288.5382467193135</v>
      </c>
      <c r="K104" s="108">
        <v>2025</v>
      </c>
      <c r="L104" s="74" t="s">
        <v>9</v>
      </c>
      <c r="M104" s="94">
        <v>25.723419779127639</v>
      </c>
      <c r="S104" s="90">
        <v>2025</v>
      </c>
      <c r="T104" s="74" t="s">
        <v>9</v>
      </c>
      <c r="U104" s="93">
        <v>1444897.5716651208</v>
      </c>
      <c r="V104" s="93">
        <v>565570.80359715398</v>
      </c>
      <c r="W104" s="93">
        <v>2120819.631127065</v>
      </c>
      <c r="X104" s="93">
        <v>3174.738130746523</v>
      </c>
      <c r="Y104" s="94">
        <v>4134462.7445200863</v>
      </c>
      <c r="AA104" s="110">
        <v>2025</v>
      </c>
      <c r="AB104" s="74" t="s">
        <v>9</v>
      </c>
      <c r="AC104" s="94">
        <v>0.58572452335565117</v>
      </c>
    </row>
    <row r="105" spans="2:29" x14ac:dyDescent="0.25">
      <c r="B105" s="90">
        <v>2025</v>
      </c>
      <c r="C105" s="74" t="s">
        <v>57</v>
      </c>
      <c r="D105" s="74" t="s">
        <v>11</v>
      </c>
      <c r="E105" s="94">
        <v>3893.1262067798889</v>
      </c>
      <c r="G105" s="90">
        <v>2025</v>
      </c>
      <c r="H105" s="74" t="s">
        <v>1</v>
      </c>
      <c r="I105" s="94">
        <v>33695.233482373449</v>
      </c>
      <c r="K105" s="108">
        <v>2025</v>
      </c>
      <c r="L105" s="74" t="s">
        <v>1</v>
      </c>
      <c r="M105" s="94">
        <v>21.115811198104907</v>
      </c>
      <c r="S105" s="90">
        <v>2025</v>
      </c>
      <c r="T105" s="74" t="s">
        <v>1</v>
      </c>
      <c r="U105" s="93">
        <v>1487280.1670829921</v>
      </c>
      <c r="V105" s="93">
        <v>8844315.8487116005</v>
      </c>
      <c r="W105" s="93">
        <v>29695837.912384577</v>
      </c>
      <c r="X105" s="93">
        <v>782821.43909286836</v>
      </c>
      <c r="Y105" s="94">
        <v>40810255.367272034</v>
      </c>
      <c r="AA105" s="110">
        <v>2025</v>
      </c>
      <c r="AB105" s="74" t="s">
        <v>1</v>
      </c>
      <c r="AC105" s="94">
        <v>4.3537729882563951</v>
      </c>
    </row>
    <row r="106" spans="2:29" x14ac:dyDescent="0.25">
      <c r="B106" s="90">
        <v>2025</v>
      </c>
      <c r="C106" s="74" t="s">
        <v>57</v>
      </c>
      <c r="D106" s="74" t="s">
        <v>12</v>
      </c>
      <c r="E106" s="94">
        <v>3729.9879329165251</v>
      </c>
      <c r="G106" s="90">
        <v>2025</v>
      </c>
      <c r="H106" s="74" t="s">
        <v>14</v>
      </c>
      <c r="I106" s="94">
        <v>2520.7328595917284</v>
      </c>
      <c r="K106" s="108">
        <v>2025</v>
      </c>
      <c r="L106" s="74" t="s">
        <v>14</v>
      </c>
      <c r="M106" s="94">
        <v>26.612086876868673</v>
      </c>
      <c r="S106" s="90">
        <v>2025</v>
      </c>
      <c r="T106" s="74" t="s">
        <v>14</v>
      </c>
      <c r="U106" s="93">
        <v>1494854.3315262606</v>
      </c>
      <c r="V106" s="93">
        <v>360310.58876199595</v>
      </c>
      <c r="W106" s="93">
        <v>1336194.4889129647</v>
      </c>
      <c r="X106" s="93">
        <v>193.06891883440935</v>
      </c>
      <c r="Y106" s="94">
        <v>3191552.478120056</v>
      </c>
      <c r="AA106" s="110">
        <v>2025</v>
      </c>
      <c r="AB106" s="74" t="s">
        <v>14</v>
      </c>
      <c r="AC106" s="94">
        <v>9.6584396247826305</v>
      </c>
    </row>
    <row r="107" spans="2:29" x14ac:dyDescent="0.25">
      <c r="B107" s="90">
        <v>2025</v>
      </c>
      <c r="C107" s="74" t="s">
        <v>57</v>
      </c>
      <c r="D107" s="74" t="s">
        <v>13</v>
      </c>
      <c r="E107" s="94">
        <v>3190.6994347960836</v>
      </c>
      <c r="G107" s="90">
        <v>2025</v>
      </c>
      <c r="H107" s="74" t="s">
        <v>10</v>
      </c>
      <c r="I107" s="94">
        <v>3371.6726484092264</v>
      </c>
      <c r="K107" s="108">
        <v>2025</v>
      </c>
      <c r="L107" s="74" t="s">
        <v>10</v>
      </c>
      <c r="M107" s="94">
        <v>10.334321129435239</v>
      </c>
      <c r="S107" s="90">
        <v>2025</v>
      </c>
      <c r="T107" s="74" t="s">
        <v>10</v>
      </c>
      <c r="U107" s="93">
        <v>1444582.9939042791</v>
      </c>
      <c r="V107" s="93">
        <v>1171726.6322537181</v>
      </c>
      <c r="W107" s="93">
        <v>1103095.9089924041</v>
      </c>
      <c r="X107" s="93">
        <v>706.59217876867547</v>
      </c>
      <c r="Y107" s="94">
        <v>3720112.1273291698</v>
      </c>
      <c r="AA107" s="110">
        <v>2025</v>
      </c>
      <c r="AB107" s="74" t="s">
        <v>10</v>
      </c>
      <c r="AC107" s="94">
        <v>9.1499474361650641</v>
      </c>
    </row>
    <row r="108" spans="2:29" x14ac:dyDescent="0.25">
      <c r="B108" s="90">
        <v>2025</v>
      </c>
      <c r="C108" s="74" t="s">
        <v>57</v>
      </c>
      <c r="D108" s="74" t="s">
        <v>14</v>
      </c>
      <c r="E108" s="94">
        <v>3191.5524781200556</v>
      </c>
      <c r="G108" s="90">
        <v>2025</v>
      </c>
      <c r="H108" s="74" t="s">
        <v>7</v>
      </c>
      <c r="I108" s="94">
        <v>4615.5037263634058</v>
      </c>
      <c r="K108" s="108">
        <v>2025</v>
      </c>
      <c r="L108" s="74" t="s">
        <v>7</v>
      </c>
      <c r="M108" s="94">
        <v>32.224347799826404</v>
      </c>
      <c r="S108" s="90">
        <v>2025</v>
      </c>
      <c r="T108" s="74" t="s">
        <v>7</v>
      </c>
      <c r="U108" s="93">
        <v>3701888.1989979991</v>
      </c>
      <c r="V108" s="93">
        <v>346957.74139169231</v>
      </c>
      <c r="W108" s="93">
        <v>2053680.9313668082</v>
      </c>
      <c r="X108" s="93">
        <v>292.82810419726775</v>
      </c>
      <c r="Y108" s="94">
        <v>6102819.6998606967</v>
      </c>
      <c r="AA108" s="110">
        <v>2025</v>
      </c>
      <c r="AB108" s="74" t="s">
        <v>7</v>
      </c>
      <c r="AC108" s="94">
        <v>5.9091393278838353</v>
      </c>
    </row>
    <row r="109" spans="2:29" x14ac:dyDescent="0.25">
      <c r="B109" s="90">
        <v>2025</v>
      </c>
      <c r="C109" s="74" t="s">
        <v>57</v>
      </c>
      <c r="D109" s="74" t="s">
        <v>15</v>
      </c>
      <c r="E109" s="94">
        <v>2939.333440469095</v>
      </c>
      <c r="G109" s="90">
        <v>2025</v>
      </c>
      <c r="H109" s="74" t="s">
        <v>12</v>
      </c>
      <c r="I109" s="94">
        <v>2867.2320670229601</v>
      </c>
      <c r="K109" s="108">
        <v>2025</v>
      </c>
      <c r="L109" s="74" t="s">
        <v>12</v>
      </c>
      <c r="M109" s="94">
        <v>30.090200085874528</v>
      </c>
      <c r="S109" s="90">
        <v>2025</v>
      </c>
      <c r="T109" s="74" t="s">
        <v>12</v>
      </c>
      <c r="U109" s="93">
        <v>2034243.9006306631</v>
      </c>
      <c r="V109" s="93">
        <v>327615.06987951387</v>
      </c>
      <c r="W109" s="93">
        <v>1367736.4865454407</v>
      </c>
      <c r="X109" s="93">
        <v>392.47586090734205</v>
      </c>
      <c r="Y109" s="94">
        <v>3729987.9329165248</v>
      </c>
      <c r="AA109" s="110">
        <v>2025</v>
      </c>
      <c r="AB109" s="74" t="s">
        <v>12</v>
      </c>
      <c r="AC109" s="94">
        <v>4.945382270264929</v>
      </c>
    </row>
    <row r="110" spans="2:29" x14ac:dyDescent="0.25">
      <c r="B110" s="90">
        <v>2025</v>
      </c>
      <c r="C110" s="74" t="s">
        <v>56</v>
      </c>
      <c r="D110" s="74" t="s">
        <v>16</v>
      </c>
      <c r="E110" s="94">
        <v>1577.3053302634728</v>
      </c>
      <c r="G110" s="90">
        <v>2025</v>
      </c>
      <c r="H110" s="74" t="s">
        <v>16</v>
      </c>
      <c r="I110" s="94">
        <v>1296.5123413209233</v>
      </c>
      <c r="K110" s="108">
        <v>2025</v>
      </c>
      <c r="L110" s="74" t="s">
        <v>16</v>
      </c>
      <c r="M110" s="94">
        <v>21.657563911537466</v>
      </c>
      <c r="S110" s="90">
        <v>2025</v>
      </c>
      <c r="T110" s="74" t="s">
        <v>16</v>
      </c>
      <c r="U110" s="93">
        <v>430574.80647072371</v>
      </c>
      <c r="V110" s="93">
        <v>385210.10969987954</v>
      </c>
      <c r="W110" s="93">
        <v>757016.94911283557</v>
      </c>
      <c r="X110" s="93">
        <v>4503.4649800342577</v>
      </c>
      <c r="Y110" s="94">
        <v>1577305.3302634731</v>
      </c>
      <c r="AA110" s="110">
        <v>2025</v>
      </c>
      <c r="AB110" s="74" t="s">
        <v>16</v>
      </c>
      <c r="AC110" s="94">
        <v>2.6226746308512219</v>
      </c>
    </row>
    <row r="111" spans="2:29" x14ac:dyDescent="0.25">
      <c r="B111" s="90">
        <v>2025</v>
      </c>
      <c r="C111" s="74" t="s">
        <v>57</v>
      </c>
      <c r="D111" s="74" t="s">
        <v>17</v>
      </c>
      <c r="E111" s="94">
        <v>1044.7844211356939</v>
      </c>
      <c r="G111" s="90">
        <v>2025</v>
      </c>
      <c r="H111" s="74" t="s">
        <v>4</v>
      </c>
      <c r="I111" s="94">
        <v>6426.3882195118786</v>
      </c>
      <c r="K111" s="108">
        <v>2025</v>
      </c>
      <c r="L111" s="74" t="s">
        <v>4</v>
      </c>
      <c r="M111" s="94">
        <v>32.916699246815085</v>
      </c>
      <c r="S111" s="90">
        <v>2025</v>
      </c>
      <c r="T111" s="74" t="s">
        <v>4</v>
      </c>
      <c r="U111" s="93">
        <v>5259165.2921337169</v>
      </c>
      <c r="V111" s="93">
        <v>348409.38110392739</v>
      </c>
      <c r="W111" s="93">
        <v>2933980.3807912748</v>
      </c>
      <c r="X111" s="93">
        <v>188.04813243764801</v>
      </c>
      <c r="Y111" s="94">
        <v>8541743.1021613572</v>
      </c>
      <c r="AA111" s="110">
        <v>2025</v>
      </c>
      <c r="AB111" s="74" t="s">
        <v>4</v>
      </c>
      <c r="AC111" s="94">
        <v>6.2803174119076459</v>
      </c>
    </row>
    <row r="112" spans="2:29" x14ac:dyDescent="0.25">
      <c r="B112" s="102">
        <v>2025</v>
      </c>
      <c r="C112" s="95" t="s">
        <v>57</v>
      </c>
      <c r="D112" s="95" t="s">
        <v>18</v>
      </c>
      <c r="E112" s="97">
        <v>764.33916394635992</v>
      </c>
      <c r="G112" s="102">
        <v>2025</v>
      </c>
      <c r="H112" s="95" t="s">
        <v>2</v>
      </c>
      <c r="I112" s="97">
        <v>18383.054421011784</v>
      </c>
      <c r="K112" s="109">
        <v>2025</v>
      </c>
      <c r="L112" s="95" t="s">
        <v>2</v>
      </c>
      <c r="M112" s="97">
        <v>-1.6980542638583813</v>
      </c>
      <c r="S112" s="102">
        <v>2025</v>
      </c>
      <c r="T112" s="95" t="s">
        <v>2</v>
      </c>
      <c r="U112" s="96">
        <v>1227845.8664512034</v>
      </c>
      <c r="V112" s="96">
        <v>15974625.313788459</v>
      </c>
      <c r="W112" s="96">
        <v>866968.47991531063</v>
      </c>
      <c r="X112" s="96">
        <v>1460.5214334119639</v>
      </c>
      <c r="Y112" s="97">
        <v>18070900.181588385</v>
      </c>
      <c r="AA112" s="111">
        <v>2025</v>
      </c>
      <c r="AB112" s="95" t="s">
        <v>2</v>
      </c>
      <c r="AC112" s="97">
        <v>-0.18846023487003549</v>
      </c>
    </row>
  </sheetData>
  <mergeCells count="1">
    <mergeCell ref="AN5:AX5"/>
  </mergeCells>
  <phoneticPr fontId="2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AF91-DEB6-4E5D-BF6B-A06D26D12E1C}">
  <sheetPr>
    <tabColor rgb="FFFFCB00"/>
  </sheetPr>
  <dimension ref="A3:T53"/>
  <sheetViews>
    <sheetView showGridLines="0" showRowColHeaders="0" topLeftCell="A13" workbookViewId="0">
      <selection activeCell="O34" sqref="O34"/>
    </sheetView>
  </sheetViews>
  <sheetFormatPr defaultRowHeight="15" x14ac:dyDescent="0.25"/>
  <cols>
    <col min="1" max="1" width="12.28515625" bestFit="1" customWidth="1"/>
    <col min="2" max="2" width="12.42578125" bestFit="1" customWidth="1"/>
    <col min="3" max="3" width="12.5703125" bestFit="1" customWidth="1"/>
    <col min="4" max="4" width="12.28515625" bestFit="1" customWidth="1"/>
    <col min="5" max="5" width="9.7109375" bestFit="1" customWidth="1"/>
    <col min="6" max="6" width="7.140625" style="135" customWidth="1"/>
    <col min="7" max="7" width="12.85546875" bestFit="1" customWidth="1"/>
    <col min="8" max="8" width="19.5703125" bestFit="1" customWidth="1"/>
    <col min="9" max="9" width="5.85546875" customWidth="1"/>
    <col min="10" max="10" width="14.140625" bestFit="1" customWidth="1"/>
    <col min="11" max="11" width="11.5703125" bestFit="1" customWidth="1"/>
    <col min="12" max="12" width="17.7109375" bestFit="1" customWidth="1"/>
    <col min="13" max="13" width="25.85546875" bestFit="1" customWidth="1"/>
    <col min="14" max="14" width="6" style="135" customWidth="1"/>
    <col min="15" max="15" width="18" bestFit="1" customWidth="1"/>
    <col min="16" max="16" width="15.28515625" customWidth="1"/>
    <col min="17" max="18" width="12.42578125" bestFit="1" customWidth="1"/>
    <col min="19" max="19" width="28" customWidth="1"/>
    <col min="20" max="20" width="29" bestFit="1" customWidth="1"/>
    <col min="25" max="25" width="23.42578125" bestFit="1" customWidth="1"/>
  </cols>
  <sheetData>
    <row r="3" spans="1:13" x14ac:dyDescent="0.25">
      <c r="A3" t="s">
        <v>119</v>
      </c>
    </row>
    <row r="5" spans="1:13" x14ac:dyDescent="0.25">
      <c r="A5" s="79" t="s">
        <v>59</v>
      </c>
      <c r="B5" s="129">
        <f>SUMIF(Quadro_1[Ano], 2025, Quadro_1[PIB])</f>
        <v>128302.0218431815</v>
      </c>
    </row>
    <row r="6" spans="1:13" x14ac:dyDescent="0.25">
      <c r="A6" s="79" t="s">
        <v>55</v>
      </c>
      <c r="B6" s="79" t="s">
        <v>1</v>
      </c>
      <c r="C6" s="2">
        <f>_xlfn.MAXIFS(Quadro_1[PIB], Quadro_1[Províncias], "Luanda", Quadro_1[Ano], 2025)</f>
        <v>40810.255367272046</v>
      </c>
    </row>
    <row r="7" spans="1:13" x14ac:dyDescent="0.25">
      <c r="A7" s="79" t="s">
        <v>60</v>
      </c>
      <c r="B7" s="2" t="s">
        <v>2</v>
      </c>
      <c r="C7" s="2">
        <f>MAX(Quadro_5[PIB per Capita])</f>
        <v>25830.314155651115</v>
      </c>
    </row>
    <row r="8" spans="1:13" x14ac:dyDescent="0.25">
      <c r="A8" t="s">
        <v>64</v>
      </c>
      <c r="B8" s="82">
        <f>SUMPRODUCT(Tabela11[PIB 2024], Tabela11[Crescimento 2025]) / SUM(Tabela11[PIB 2024])</f>
        <v>3.1335354244999443</v>
      </c>
    </row>
    <row r="9" spans="1:13" x14ac:dyDescent="0.25">
      <c r="A9" t="s">
        <v>62</v>
      </c>
      <c r="B9" t="s">
        <v>63</v>
      </c>
      <c r="C9" s="81">
        <v>0.46495595225392455</v>
      </c>
    </row>
    <row r="15" spans="1:13" ht="22.5" x14ac:dyDescent="0.45">
      <c r="A15" s="113" t="s">
        <v>106</v>
      </c>
      <c r="B15" s="113"/>
      <c r="C15" s="113"/>
      <c r="D15" s="113"/>
      <c r="E15" s="88"/>
      <c r="G15" s="113" t="s">
        <v>107</v>
      </c>
      <c r="H15" s="122"/>
      <c r="I15" s="122"/>
      <c r="J15" s="122"/>
      <c r="K15" s="122"/>
      <c r="L15" s="122"/>
      <c r="M15" s="122"/>
    </row>
    <row r="17" spans="1:20" x14ac:dyDescent="0.25">
      <c r="A17" s="78" t="s">
        <v>75</v>
      </c>
      <c r="B17" s="79">
        <v>2025</v>
      </c>
      <c r="P17" s="79"/>
    </row>
    <row r="18" spans="1:20" x14ac:dyDescent="0.25">
      <c r="A18" t="s">
        <v>98</v>
      </c>
    </row>
    <row r="19" spans="1:20" x14ac:dyDescent="0.25">
      <c r="A19" s="78" t="s">
        <v>0</v>
      </c>
      <c r="B19" t="s">
        <v>97</v>
      </c>
      <c r="D19" t="s">
        <v>58</v>
      </c>
      <c r="E19" t="s">
        <v>61</v>
      </c>
      <c r="G19" s="78" t="s">
        <v>0</v>
      </c>
      <c r="H19" t="s">
        <v>74</v>
      </c>
      <c r="J19" s="78" t="s">
        <v>71</v>
      </c>
      <c r="K19" s="89" t="s">
        <v>67</v>
      </c>
      <c r="L19" s="88"/>
      <c r="O19" s="79" t="s">
        <v>0</v>
      </c>
      <c r="P19" t="s">
        <v>109</v>
      </c>
      <c r="Q19" t="s">
        <v>110</v>
      </c>
      <c r="R19" t="s">
        <v>111</v>
      </c>
      <c r="S19" t="s">
        <v>112</v>
      </c>
      <c r="T19" t="s">
        <v>113</v>
      </c>
    </row>
    <row r="20" spans="1:20" x14ac:dyDescent="0.25">
      <c r="A20" s="79" t="s">
        <v>11</v>
      </c>
      <c r="B20" s="131">
        <v>3893.1262067798889</v>
      </c>
      <c r="D20" t="s">
        <v>1</v>
      </c>
      <c r="E20" s="81">
        <v>0.31807959672804542</v>
      </c>
      <c r="G20" s="79" t="s">
        <v>3</v>
      </c>
      <c r="H20" s="84">
        <v>0.6438334601250375</v>
      </c>
      <c r="J20" s="78" t="s">
        <v>0</v>
      </c>
      <c r="K20" t="s">
        <v>69</v>
      </c>
      <c r="L20" t="s">
        <v>68</v>
      </c>
      <c r="O20" t="s">
        <v>15</v>
      </c>
      <c r="P20" s="130">
        <v>0.48731993886409974</v>
      </c>
      <c r="Q20" s="130">
        <v>0.1561296443641281</v>
      </c>
      <c r="R20" s="130">
        <v>0.3561744813352426</v>
      </c>
      <c r="S20" s="130">
        <v>3.7593543652949824E-4</v>
      </c>
      <c r="T20" s="2">
        <v>2939333.4404690946</v>
      </c>
    </row>
    <row r="21" spans="1:20" x14ac:dyDescent="0.25">
      <c r="A21" s="79" t="s">
        <v>9</v>
      </c>
      <c r="B21" s="131">
        <v>4134.4627445200867</v>
      </c>
      <c r="D21" t="s">
        <v>2</v>
      </c>
      <c r="E21" s="81">
        <v>0.14084657374827447</v>
      </c>
      <c r="G21" s="79" t="s">
        <v>11</v>
      </c>
      <c r="H21" s="84">
        <v>0.31664439224952146</v>
      </c>
      <c r="J21" s="79" t="s">
        <v>15</v>
      </c>
      <c r="K21" s="2"/>
      <c r="L21" s="2">
        <v>5.6225624654209074</v>
      </c>
      <c r="O21" t="s">
        <v>3</v>
      </c>
      <c r="P21" s="130">
        <v>0.22532308252558381</v>
      </c>
      <c r="Q21" s="130">
        <v>0.14740816387388508</v>
      </c>
      <c r="R21" s="130">
        <v>0.62512072605894387</v>
      </c>
      <c r="S21" s="130">
        <v>2.1480275415873152E-3</v>
      </c>
      <c r="T21" s="2">
        <v>10248672.093676982</v>
      </c>
    </row>
    <row r="22" spans="1:20" x14ac:dyDescent="0.25">
      <c r="A22" s="79" t="s">
        <v>8</v>
      </c>
      <c r="B22" s="131">
        <v>4717.9740260215367</v>
      </c>
      <c r="D22" t="s">
        <v>3</v>
      </c>
      <c r="E22" s="81">
        <v>7.9879271943224153E-2</v>
      </c>
      <c r="G22" s="79" t="s">
        <v>17</v>
      </c>
      <c r="H22" s="84">
        <v>0.30102799860458984</v>
      </c>
      <c r="J22" s="79" t="s">
        <v>5</v>
      </c>
      <c r="K22" s="2"/>
      <c r="L22" s="2">
        <v>5.6081430887730273</v>
      </c>
      <c r="O22" t="s">
        <v>11</v>
      </c>
      <c r="P22" s="130">
        <v>0.52692172495709477</v>
      </c>
      <c r="Q22" s="130">
        <v>5.0960936822644631E-2</v>
      </c>
      <c r="R22" s="130">
        <v>0.42205700327182838</v>
      </c>
      <c r="S22" s="130">
        <v>6.033494843238655E-5</v>
      </c>
      <c r="T22" s="2">
        <v>3893126.2067798893</v>
      </c>
    </row>
    <row r="23" spans="1:20" x14ac:dyDescent="0.25">
      <c r="A23" s="79" t="s">
        <v>5</v>
      </c>
      <c r="B23" s="131">
        <v>5447.1334781120358</v>
      </c>
      <c r="D23" t="s">
        <v>4</v>
      </c>
      <c r="E23" s="81">
        <v>6.6575280571974108E-2</v>
      </c>
      <c r="G23" s="79" t="s">
        <v>12</v>
      </c>
      <c r="H23" s="84">
        <v>0.25538209982453486</v>
      </c>
      <c r="J23" s="79" t="s">
        <v>13</v>
      </c>
      <c r="K23" s="2">
        <v>7.1117604463955093</v>
      </c>
      <c r="L23" s="2"/>
      <c r="O23" t="s">
        <v>5</v>
      </c>
      <c r="P23" s="130">
        <v>0.20570764615210541</v>
      </c>
      <c r="Q23" s="130">
        <v>0.53861211557354416</v>
      </c>
      <c r="R23" s="130">
        <v>0.25447623017287907</v>
      </c>
      <c r="S23" s="130">
        <v>1.2040081014713627E-3</v>
      </c>
      <c r="T23" s="2">
        <v>5447133.4781120373</v>
      </c>
    </row>
    <row r="24" spans="1:20" x14ac:dyDescent="0.25">
      <c r="A24" s="79" t="s">
        <v>7</v>
      </c>
      <c r="B24" s="131">
        <v>6102.8196998606963</v>
      </c>
      <c r="D24" t="s">
        <v>6</v>
      </c>
      <c r="E24" s="81">
        <v>4.8142815876757422E-2</v>
      </c>
      <c r="G24" s="79" t="s">
        <v>15</v>
      </c>
      <c r="H24" s="84">
        <v>0.24721482494295821</v>
      </c>
      <c r="I24" s="88"/>
      <c r="J24" s="79" t="s">
        <v>8</v>
      </c>
      <c r="K24" s="2"/>
      <c r="L24" s="2">
        <v>5.6635623954190715</v>
      </c>
      <c r="O24" t="s">
        <v>18</v>
      </c>
      <c r="P24" s="130">
        <v>0.24439561709543098</v>
      </c>
      <c r="Q24" s="130">
        <v>0.24572209947122137</v>
      </c>
      <c r="R24" s="130">
        <v>0.50948835303447781</v>
      </c>
      <c r="S24" s="130">
        <v>3.9393039886984873E-4</v>
      </c>
      <c r="T24" s="2">
        <v>764339.16394635988</v>
      </c>
    </row>
    <row r="25" spans="1:20" x14ac:dyDescent="0.25">
      <c r="A25" s="79" t="s">
        <v>6</v>
      </c>
      <c r="B25" s="131">
        <v>6176.8206142119961</v>
      </c>
      <c r="D25" t="s">
        <v>7</v>
      </c>
      <c r="E25" s="81">
        <v>4.756604465142359E-2</v>
      </c>
      <c r="G25" s="79" t="s">
        <v>9</v>
      </c>
      <c r="H25" s="84">
        <v>0.23303657212653772</v>
      </c>
      <c r="J25" s="79" t="s">
        <v>9</v>
      </c>
      <c r="K25" s="2">
        <v>6.4500000497320267</v>
      </c>
      <c r="L25" s="2"/>
      <c r="O25" t="s">
        <v>13</v>
      </c>
      <c r="P25" s="130">
        <v>0.46226522612481707</v>
      </c>
      <c r="Q25" s="130">
        <v>0.11080813374058265</v>
      </c>
      <c r="R25" s="130">
        <v>0.42678557388372751</v>
      </c>
      <c r="S25" s="130">
        <v>1.4106625087268506E-4</v>
      </c>
      <c r="T25" s="2">
        <v>3190699.4347960833</v>
      </c>
    </row>
    <row r="26" spans="1:20" x14ac:dyDescent="0.25">
      <c r="A26" s="79" t="s">
        <v>4</v>
      </c>
      <c r="B26" s="131">
        <v>8541.7431021613593</v>
      </c>
      <c r="D26" t="s">
        <v>5</v>
      </c>
      <c r="E26" s="81">
        <v>4.2455554478867466E-2</v>
      </c>
      <c r="G26" s="79" t="s">
        <v>7</v>
      </c>
      <c r="H26" s="84">
        <v>0.22755614383183964</v>
      </c>
      <c r="J26" s="79" t="s">
        <v>1</v>
      </c>
      <c r="K26" s="2"/>
      <c r="L26" s="2">
        <v>4.7079966373318634</v>
      </c>
      <c r="O26" t="s">
        <v>6</v>
      </c>
      <c r="P26" s="130">
        <v>0.56354272557156848</v>
      </c>
      <c r="Q26" s="130">
        <v>7.1914030829188028E-2</v>
      </c>
      <c r="R26" s="130">
        <v>0.36441756177275975</v>
      </c>
      <c r="S26" s="130">
        <v>1.2568182648365519E-4</v>
      </c>
      <c r="T26" s="2">
        <v>6176820.6142119952</v>
      </c>
    </row>
    <row r="27" spans="1:20" x14ac:dyDescent="0.25">
      <c r="A27" s="79" t="s">
        <v>3</v>
      </c>
      <c r="B27" s="131">
        <v>10248.67209367698</v>
      </c>
      <c r="D27" t="s">
        <v>8</v>
      </c>
      <c r="E27" s="81">
        <v>3.6772405907898556E-2</v>
      </c>
      <c r="G27" s="79" t="s">
        <v>16</v>
      </c>
      <c r="H27" s="84">
        <v>0.22124123567646503</v>
      </c>
      <c r="J27" s="79" t="s">
        <v>14</v>
      </c>
      <c r="K27" s="2">
        <v>6.504887115311889</v>
      </c>
      <c r="L27" s="2"/>
      <c r="O27" t="s">
        <v>17</v>
      </c>
      <c r="P27" s="130">
        <v>8.4905266590181577E-2</v>
      </c>
      <c r="Q27" s="130">
        <v>0.3999450164162609</v>
      </c>
      <c r="R27" s="130">
        <v>0.50161156314884359</v>
      </c>
      <c r="S27" s="130">
        <v>1.3538153844713872E-2</v>
      </c>
      <c r="T27" s="2">
        <v>1044784.4211356939</v>
      </c>
    </row>
    <row r="28" spans="1:20" x14ac:dyDescent="0.25">
      <c r="A28" s="79" t="s">
        <v>2</v>
      </c>
      <c r="B28" s="131">
        <v>18070.900181588386</v>
      </c>
      <c r="D28" t="s">
        <v>9</v>
      </c>
      <c r="E28" s="81">
        <v>3.2224455118668963E-2</v>
      </c>
      <c r="G28" s="79" t="s">
        <v>13</v>
      </c>
      <c r="H28" s="84">
        <v>0.21572759243294604</v>
      </c>
      <c r="J28" s="79" t="s">
        <v>4</v>
      </c>
      <c r="K28" s="2"/>
      <c r="L28" s="2">
        <v>2.9848931950438984</v>
      </c>
      <c r="O28" t="s">
        <v>8</v>
      </c>
      <c r="P28" s="130">
        <v>0.41437985548173922</v>
      </c>
      <c r="Q28" s="130">
        <v>7.4527334089153241E-2</v>
      </c>
      <c r="R28" s="130">
        <v>0.51090006797184306</v>
      </c>
      <c r="S28" s="130">
        <v>1.9274245726445059E-4</v>
      </c>
      <c r="T28" s="2">
        <v>4717974.0260215355</v>
      </c>
    </row>
    <row r="29" spans="1:20" x14ac:dyDescent="0.25">
      <c r="A29" s="79" t="s">
        <v>1</v>
      </c>
      <c r="B29" s="131">
        <v>40810.255367272046</v>
      </c>
      <c r="D29" t="s">
        <v>11</v>
      </c>
      <c r="E29" s="81">
        <v>3.0343451730934556E-2</v>
      </c>
      <c r="G29" s="79" t="s">
        <v>1</v>
      </c>
      <c r="H29" s="84">
        <v>0.20613657366405125</v>
      </c>
      <c r="J29" s="79" t="s">
        <v>2</v>
      </c>
      <c r="K29" s="2">
        <v>6.5046243527035168</v>
      </c>
      <c r="L29" s="2"/>
      <c r="O29" t="s">
        <v>9</v>
      </c>
      <c r="P29" s="130">
        <v>0.34947650056351864</v>
      </c>
      <c r="Q29" s="130">
        <v>0.1367942677308617</v>
      </c>
      <c r="R29" s="130">
        <v>0.51296135971670054</v>
      </c>
      <c r="S29" s="130">
        <v>7.678719889190912E-4</v>
      </c>
      <c r="T29" s="2">
        <v>4134462.7445200863</v>
      </c>
    </row>
    <row r="30" spans="1:20" x14ac:dyDescent="0.25">
      <c r="A30" s="79" t="s">
        <v>54</v>
      </c>
      <c r="B30" s="131">
        <v>108143.90751420501</v>
      </c>
      <c r="O30" t="s">
        <v>1</v>
      </c>
      <c r="P30" s="130">
        <v>3.644378486971496E-2</v>
      </c>
      <c r="Q30" s="130">
        <v>0.21671797368375056</v>
      </c>
      <c r="R30" s="130">
        <v>0.72765626299411212</v>
      </c>
      <c r="S30" s="130">
        <v>1.9181978452422414E-2</v>
      </c>
      <c r="T30" s="2">
        <v>40810255.367272034</v>
      </c>
    </row>
    <row r="31" spans="1:20" x14ac:dyDescent="0.25">
      <c r="O31" t="s">
        <v>14</v>
      </c>
      <c r="P31" s="130">
        <v>0.46837842766940363</v>
      </c>
      <c r="Q31" s="130">
        <v>0.11289508514496757</v>
      </c>
      <c r="R31" s="130">
        <v>0.41866599345408018</v>
      </c>
      <c r="S31" s="130">
        <v>6.0493731548520293E-5</v>
      </c>
      <c r="T31" s="2">
        <v>3191552.478120056</v>
      </c>
    </row>
    <row r="32" spans="1:20" x14ac:dyDescent="0.25">
      <c r="G32" s="2" t="s">
        <v>73</v>
      </c>
      <c r="H32" s="2" t="s">
        <v>72</v>
      </c>
      <c r="J32" t="s">
        <v>100</v>
      </c>
      <c r="K32" t="s">
        <v>101</v>
      </c>
      <c r="L32" t="s">
        <v>102</v>
      </c>
      <c r="M32" s="2" t="s">
        <v>103</v>
      </c>
      <c r="O32" t="s">
        <v>10</v>
      </c>
      <c r="P32" s="130">
        <v>0.38831705724456428</v>
      </c>
      <c r="Q32" s="130">
        <v>0.31497078371531551</v>
      </c>
      <c r="R32" s="130">
        <v>0.29652222063111972</v>
      </c>
      <c r="S32" s="130">
        <v>1.8993840900058265E-4</v>
      </c>
      <c r="T32" s="2">
        <v>3720112.1273291698</v>
      </c>
    </row>
    <row r="33" spans="1:20" x14ac:dyDescent="0.25">
      <c r="A33" s="78" t="s">
        <v>75</v>
      </c>
      <c r="B33" s="79">
        <v>2025</v>
      </c>
      <c r="G33" s="2" t="s">
        <v>15</v>
      </c>
      <c r="H33" s="2">
        <f>_xlfn.XLOOKUP(Tabela10[[#This Row],[Província]], Quadro8[Províncias], Quadro8[Dinamismo])</f>
        <v>-0.31749527374950376</v>
      </c>
      <c r="J33" t="s">
        <v>15</v>
      </c>
      <c r="K33" s="120">
        <v>0.45776682820014358</v>
      </c>
      <c r="M33" s="2">
        <v>9673183.7891148683</v>
      </c>
      <c r="O33" t="s">
        <v>7</v>
      </c>
      <c r="P33" s="130">
        <v>0.60658652574686067</v>
      </c>
      <c r="Q33" s="130">
        <v>5.6852038640370119E-2</v>
      </c>
      <c r="R33" s="130">
        <v>0.33651345318520315</v>
      </c>
      <c r="S33" s="130">
        <v>4.7982427566056368E-5</v>
      </c>
      <c r="T33" s="2">
        <v>6102819.6998606967</v>
      </c>
    </row>
    <row r="34" spans="1:20" x14ac:dyDescent="0.25">
      <c r="A34" t="s">
        <v>99</v>
      </c>
      <c r="G34" s="2" t="s">
        <v>3</v>
      </c>
      <c r="H34" s="2">
        <f>_xlfn.XLOOKUP(Tabela10[[#This Row],[Província]], Quadro8[Províncias], Quadro8[Dinamismo])</f>
        <v>3.246141980612729</v>
      </c>
      <c r="J34" t="s">
        <v>3</v>
      </c>
      <c r="L34" s="120">
        <v>0.58327887355655672</v>
      </c>
      <c r="M34" s="2">
        <v>31490740.845898926</v>
      </c>
      <c r="O34" t="s">
        <v>12</v>
      </c>
      <c r="P34" s="130">
        <v>0.54537546426861017</v>
      </c>
      <c r="Q34" s="130">
        <v>8.7832742564222591E-2</v>
      </c>
      <c r="R34" s="130">
        <v>0.36668657141632904</v>
      </c>
      <c r="S34" s="130">
        <v>1.0522175083833588E-4</v>
      </c>
      <c r="T34" s="2">
        <v>3729987.9329165248</v>
      </c>
    </row>
    <row r="35" spans="1:20" x14ac:dyDescent="0.25">
      <c r="A35" s="78" t="s">
        <v>0</v>
      </c>
      <c r="B35" t="s">
        <v>97</v>
      </c>
      <c r="D35" s="78" t="s">
        <v>75</v>
      </c>
      <c r="E35" s="79">
        <v>2025</v>
      </c>
      <c r="G35" s="2" t="s">
        <v>11</v>
      </c>
      <c r="H35" s="2">
        <f>_xlfn.XLOOKUP(Tabela10[[#This Row],[Província]], Quadro8[Províncias], Quadro8[Dinamismo])</f>
        <v>1.8281868143892548</v>
      </c>
      <c r="J35" t="s">
        <v>11</v>
      </c>
      <c r="K35" s="120">
        <v>0.49026285254494012</v>
      </c>
      <c r="M35" s="2">
        <v>12818421.868766278</v>
      </c>
      <c r="O35" t="s">
        <v>16</v>
      </c>
      <c r="P35" s="130">
        <v>0.27298126634670061</v>
      </c>
      <c r="Q35" s="130">
        <v>0.24422038162740123</v>
      </c>
      <c r="R35" s="130">
        <v>0.47994318828960242</v>
      </c>
      <c r="S35" s="130">
        <v>2.8551637362957487E-3</v>
      </c>
      <c r="T35" s="2">
        <v>1577305.3302634731</v>
      </c>
    </row>
    <row r="36" spans="1:20" x14ac:dyDescent="0.25">
      <c r="A36" s="79" t="s">
        <v>1</v>
      </c>
      <c r="B36" s="84">
        <v>0.31807959672804548</v>
      </c>
      <c r="G36" s="2" t="s">
        <v>13</v>
      </c>
      <c r="H36" s="2">
        <f>_xlfn.XLOOKUP(Tabela10[[#This Row],[Província]], Quadro8[Províncias], Quadro8[Dinamismo])</f>
        <v>0.88317021600815426</v>
      </c>
      <c r="J36" t="s">
        <v>13</v>
      </c>
      <c r="L36" s="120">
        <v>0.45352220069293658</v>
      </c>
      <c r="M36" s="2">
        <v>10756690.40446529</v>
      </c>
      <c r="O36" t="s">
        <v>4</v>
      </c>
      <c r="P36" s="130">
        <v>0.61570164651790638</v>
      </c>
      <c r="Q36" s="130">
        <v>4.0789025956044937E-2</v>
      </c>
      <c r="R36" s="130">
        <v>0.34348731233193797</v>
      </c>
      <c r="S36" s="130">
        <v>2.2015194110680442E-5</v>
      </c>
      <c r="T36" s="2">
        <v>8541743.1021613572</v>
      </c>
    </row>
    <row r="37" spans="1:20" x14ac:dyDescent="0.25">
      <c r="A37" s="79" t="s">
        <v>2</v>
      </c>
      <c r="B37" s="84">
        <v>0.45892617047632001</v>
      </c>
      <c r="D37" s="78" t="s">
        <v>0</v>
      </c>
      <c r="E37" t="s">
        <v>97</v>
      </c>
      <c r="G37" s="2" t="s">
        <v>17</v>
      </c>
      <c r="H37" s="2">
        <f>_xlfn.XLOOKUP(Tabela10[[#This Row],[Província]], Quadro8[Províncias], Quadro8[Dinamismo])</f>
        <v>3.1135218849981965</v>
      </c>
      <c r="J37" t="s">
        <v>17</v>
      </c>
      <c r="L37" s="120">
        <v>0.46263195940619506</v>
      </c>
      <c r="M37" s="2">
        <v>4010383.3528487119</v>
      </c>
      <c r="O37" t="s">
        <v>2</v>
      </c>
      <c r="P37" s="130">
        <v>6.7946026712172286E-2</v>
      </c>
      <c r="Q37" s="130">
        <v>0.88399720839940643</v>
      </c>
      <c r="R37" s="130">
        <v>4.7975943157420861E-2</v>
      </c>
      <c r="S37" s="130">
        <v>8.0821731000430317E-5</v>
      </c>
      <c r="T37" s="2">
        <v>18070900.181588385</v>
      </c>
    </row>
    <row r="38" spans="1:20" x14ac:dyDescent="0.25">
      <c r="A38" s="79" t="s">
        <v>3</v>
      </c>
      <c r="B38" s="84">
        <v>0.5388054424195442</v>
      </c>
      <c r="D38" s="79" t="s">
        <v>57</v>
      </c>
      <c r="E38" s="84">
        <v>0.35830249685577853</v>
      </c>
      <c r="G38" s="2" t="s">
        <v>9</v>
      </c>
      <c r="H38" s="2">
        <f>_xlfn.XLOOKUP(Tabela10[[#This Row],[Província]], Quadro8[Províncias], Quadro8[Dinamismo])</f>
        <v>1.3213835233740108</v>
      </c>
      <c r="J38" t="s">
        <v>9</v>
      </c>
      <c r="L38" s="120">
        <v>0.55264757806154641</v>
      </c>
      <c r="M38" s="2">
        <v>14305147.661957197</v>
      </c>
    </row>
    <row r="39" spans="1:20" x14ac:dyDescent="0.25">
      <c r="A39" s="79" t="s">
        <v>4</v>
      </c>
      <c r="B39" s="84">
        <v>0.60538072299151835</v>
      </c>
      <c r="D39" s="79" t="s">
        <v>56</v>
      </c>
      <c r="E39" s="84">
        <v>0.64169750314422158</v>
      </c>
      <c r="G39" s="2" t="s">
        <v>1</v>
      </c>
      <c r="H39" s="2">
        <f>_xlfn.XLOOKUP(Tabela10[[#This Row],[Província]], Quadro8[Províncias], Quadro8[Dinamismo])</f>
        <v>1.5731432940943451</v>
      </c>
      <c r="J39" t="s">
        <v>1</v>
      </c>
      <c r="L39" s="120">
        <v>0.73534060720094718</v>
      </c>
      <c r="M39" s="2">
        <v>146053530.34160864</v>
      </c>
    </row>
    <row r="40" spans="1:20" x14ac:dyDescent="0.25">
      <c r="A40" s="79" t="s">
        <v>6</v>
      </c>
      <c r="B40" s="84">
        <v>0.65352353886827574</v>
      </c>
      <c r="G40" s="2" t="s">
        <v>22</v>
      </c>
      <c r="H40" s="2">
        <f>_xlfn.XLOOKUP(Tabela10[[#This Row],[Província]], Quadro8[Províncias], Quadro8[Dinamismo])</f>
        <v>0.62148525416545553</v>
      </c>
      <c r="J40" t="s">
        <v>22</v>
      </c>
      <c r="K40" s="120">
        <v>0.56238425862950492</v>
      </c>
      <c r="M40" s="2">
        <v>19511051.912558079</v>
      </c>
    </row>
    <row r="41" spans="1:20" x14ac:dyDescent="0.25">
      <c r="A41" s="79" t="s">
        <v>7</v>
      </c>
      <c r="B41" s="84">
        <v>0.70108958351969941</v>
      </c>
      <c r="G41" s="2" t="s">
        <v>12</v>
      </c>
      <c r="H41" s="2">
        <f>_xlfn.XLOOKUP(Tabela10[[#This Row],[Província]], Quadro8[Províncias], Quadro8[Dinamismo])</f>
        <v>0.17528903947505756</v>
      </c>
      <c r="J41" t="s">
        <v>12</v>
      </c>
      <c r="K41" s="120">
        <v>0.49341881312543368</v>
      </c>
      <c r="M41" s="2">
        <v>12581313.593940752</v>
      </c>
    </row>
    <row r="42" spans="1:20" x14ac:dyDescent="0.25">
      <c r="A42" s="79" t="s">
        <v>5</v>
      </c>
      <c r="B42" s="84">
        <v>0.74354513799856692</v>
      </c>
      <c r="G42" s="2" t="s">
        <v>16</v>
      </c>
      <c r="H42" s="2">
        <f>_xlfn.XLOOKUP(Tabela10[[#This Row],[Província]], Quadro8[Províncias], Quadro8[Dinamismo])</f>
        <v>4.9265002566187199</v>
      </c>
      <c r="J42" t="s">
        <v>16</v>
      </c>
      <c r="L42" s="120">
        <v>0.45983655666352768</v>
      </c>
      <c r="M42" s="2">
        <v>5393555.1586827077</v>
      </c>
    </row>
    <row r="43" spans="1:20" x14ac:dyDescent="0.25">
      <c r="A43" s="79" t="s">
        <v>8</v>
      </c>
      <c r="B43" s="84">
        <v>0.78031754390646546</v>
      </c>
    </row>
    <row r="44" spans="1:20" x14ac:dyDescent="0.25">
      <c r="A44" s="79" t="s">
        <v>9</v>
      </c>
      <c r="B44" s="84">
        <v>0.81254199902513435</v>
      </c>
    </row>
    <row r="45" spans="1:20" x14ac:dyDescent="0.25">
      <c r="A45" s="79" t="s">
        <v>11</v>
      </c>
      <c r="B45" s="84">
        <v>0.84288545075606902</v>
      </c>
    </row>
    <row r="46" spans="1:20" x14ac:dyDescent="0.25">
      <c r="A46" s="79" t="s">
        <v>12</v>
      </c>
      <c r="B46" s="84">
        <v>0.87195738492617547</v>
      </c>
    </row>
    <row r="47" spans="1:20" x14ac:dyDescent="0.25">
      <c r="A47" s="79" t="s">
        <v>10</v>
      </c>
      <c r="B47" s="84">
        <v>0.90095234598669649</v>
      </c>
    </row>
    <row r="48" spans="1:20" x14ac:dyDescent="0.25">
      <c r="A48" s="79" t="s">
        <v>14</v>
      </c>
      <c r="B48" s="84">
        <v>0.92582765529414413</v>
      </c>
    </row>
    <row r="49" spans="1:2" x14ac:dyDescent="0.25">
      <c r="A49" s="79" t="s">
        <v>13</v>
      </c>
      <c r="B49" s="84">
        <v>0.95069631588856529</v>
      </c>
    </row>
    <row r="50" spans="1:2" x14ac:dyDescent="0.25">
      <c r="A50" s="79" t="s">
        <v>15</v>
      </c>
      <c r="B50" s="84">
        <v>0.97360580241296102</v>
      </c>
    </row>
    <row r="51" spans="1:2" x14ac:dyDescent="0.25">
      <c r="A51" s="79" t="s">
        <v>16</v>
      </c>
      <c r="B51" s="84">
        <v>0.9858994927820135</v>
      </c>
    </row>
    <row r="52" spans="1:2" x14ac:dyDescent="0.25">
      <c r="A52" s="79" t="s">
        <v>17</v>
      </c>
      <c r="B52" s="84">
        <v>0.99404265690465454</v>
      </c>
    </row>
    <row r="53" spans="1:2" x14ac:dyDescent="0.25">
      <c r="A53" s="79" t="s">
        <v>18</v>
      </c>
      <c r="B53" s="84">
        <v>1.0000000000000002</v>
      </c>
    </row>
  </sheetData>
  <pageMargins left="0.511811024" right="0.511811024" top="0.78740157499999996" bottom="0.78740157499999996" header="0.31496062000000002" footer="0.31496062000000002"/>
  <pageSetup paperSize="9" orientation="portrait" r:id="rId6"/>
  <tableParts count="4">
    <tablePart r:id="rId7"/>
    <tablePart r:id="rId8"/>
    <tablePart r:id="rId9"/>
    <tablePart r:id="rId10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9D36E-1B9E-470F-AF45-9A8007F093F3}">
  <dimension ref="BZ22"/>
  <sheetViews>
    <sheetView showGridLines="0" showRowColHeaders="0" zoomScale="76" zoomScaleNormal="76" workbookViewId="0"/>
  </sheetViews>
  <sheetFormatPr defaultColWidth="3.28515625" defaultRowHeight="15" x14ac:dyDescent="0.25"/>
  <sheetData>
    <row r="22" spans="78:78" x14ac:dyDescent="0.25">
      <c r="BZ22" t="s">
        <v>88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965F2-1C77-47A9-87D3-3A70C1D22D01}">
  <dimension ref="A1"/>
  <sheetViews>
    <sheetView showGridLines="0" showRowColHeaders="0" zoomScale="80" zoomScaleNormal="80" workbookViewId="0"/>
  </sheetViews>
  <sheetFormatPr defaultColWidth="3.28515625"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0FFEA-FB71-483C-8585-B4208F0D2D41}">
  <dimension ref="A1"/>
  <sheetViews>
    <sheetView showGridLines="0" showRowColHeaders="0" zoomScale="76" zoomScaleNormal="76" workbookViewId="0"/>
  </sheetViews>
  <sheetFormatPr defaultColWidth="3.28515625"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F9FF1-F372-42DA-A638-D06FAE3CF82D}">
  <dimension ref="A1"/>
  <sheetViews>
    <sheetView showGridLines="0" showRowColHeaders="0" tabSelected="1" zoomScale="76" zoomScaleNormal="76" workbookViewId="0"/>
  </sheetViews>
  <sheetFormatPr defaultColWidth="3.28515625"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Índice</vt:lpstr>
      <vt:lpstr>Q1</vt:lpstr>
      <vt:lpstr>Q2</vt:lpstr>
      <vt:lpstr>Q3</vt:lpstr>
      <vt:lpstr>Q4</vt:lpstr>
      <vt:lpstr>Q5</vt:lpstr>
      <vt:lpstr>Q6</vt:lpstr>
      <vt:lpstr>Q7</vt:lpstr>
      <vt:lpstr>Q8</vt:lpstr>
      <vt:lpstr>Planilha2</vt:lpstr>
      <vt:lpstr>Modelagem</vt:lpstr>
      <vt:lpstr>KPIs &amp; Análises</vt:lpstr>
      <vt:lpstr>Visão Geral</vt:lpstr>
      <vt:lpstr>Evolução Econômica</vt:lpstr>
      <vt:lpstr>Preço vs Volume</vt:lpstr>
      <vt:lpstr>Estrutura Setorial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Contas Nacionais</dc:creator>
  <cp:lastModifiedBy>Etelvino Joaquim</cp:lastModifiedBy>
  <cp:lastPrinted>2026-07-22T21:57:55Z</cp:lastPrinted>
  <dcterms:created xsi:type="dcterms:W3CDTF">2026-05-05T12:52:50Z</dcterms:created>
  <dcterms:modified xsi:type="dcterms:W3CDTF">2026-07-26T20:35:59Z</dcterms:modified>
</cp:coreProperties>
</file>